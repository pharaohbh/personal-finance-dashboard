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ivot_Category" sheetId="2" r:id="rId5"/>
    <sheet state="visible" name="Pivot_Monthly" sheetId="3" r:id="rId6"/>
    <sheet state="visible" name="Dashboard" sheetId="4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<sst xmlns="http://schemas.openxmlformats.org/spreadsheetml/2006/main" count="627" uniqueCount="46">
  <si>
    <t>Date</t>
  </si>
  <si>
    <t>Category</t>
  </si>
  <si>
    <t>Merchant</t>
  </si>
  <si>
    <t>Amount</t>
  </si>
  <si>
    <t>Payment Method</t>
  </si>
  <si>
    <t xml:space="preserve"> </t>
  </si>
  <si>
    <t>Shopping</t>
  </si>
  <si>
    <t>SM Store</t>
  </si>
  <si>
    <t>Cash</t>
  </si>
  <si>
    <t>Uniqlo</t>
  </si>
  <si>
    <t>Debit Card</t>
  </si>
  <si>
    <t>Personal Care</t>
  </si>
  <si>
    <t>Barber Shop</t>
  </si>
  <si>
    <t>GCash</t>
  </si>
  <si>
    <t>Food &amp; Drinks</t>
  </si>
  <si>
    <t>Starbucks</t>
  </si>
  <si>
    <t>Mercury Drug</t>
  </si>
  <si>
    <t>Watsons</t>
  </si>
  <si>
    <t>Transportation</t>
  </si>
  <si>
    <t>Jeepney</t>
  </si>
  <si>
    <t>7-Eleven</t>
  </si>
  <si>
    <t>McDo</t>
  </si>
  <si>
    <t>Miniso</t>
  </si>
  <si>
    <t>Bus</t>
  </si>
  <si>
    <t>Taxi</t>
  </si>
  <si>
    <t>Lazada</t>
  </si>
  <si>
    <t>Jollibee</t>
  </si>
  <si>
    <t>Shopee</t>
  </si>
  <si>
    <t>Grab</t>
  </si>
  <si>
    <t>Salon</t>
  </si>
  <si>
    <t>Train</t>
  </si>
  <si>
    <t>Chowking</t>
  </si>
  <si>
    <t>SUM of Amount</t>
  </si>
  <si>
    <t>Grand Total</t>
  </si>
  <si>
    <t>Date - Month</t>
  </si>
  <si>
    <t>Sep</t>
  </si>
  <si>
    <t>Oct</t>
  </si>
  <si>
    <t>Nov</t>
  </si>
  <si>
    <t>PERSONAL FINANCE DASHBOARD</t>
  </si>
  <si>
    <t>Key Metrics (3 Months)</t>
  </si>
  <si>
    <t>Total Expenses</t>
  </si>
  <si>
    <t>Highest Spending Category</t>
  </si>
  <si>
    <t>Total Transactions</t>
  </si>
  <si>
    <t>Average Spend per Day</t>
  </si>
  <si>
    <t>Expense Breakdown by Category</t>
  </si>
  <si>
    <t>Monthly Spending Trend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</si>
</sst>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 h:mm:ss"/>
    <numFmt numFmtId="166" formatCode="[$₱]#,##0.00"/>
    <numFmt numFmtId="167" formatCode="&quot;$&quot;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b/>
      <sz val="14.0"/>
      <color rgb="FFFFFFFF"/>
      <name val="Arial"/>
      <scheme val="minor"/>
    </font>
    <font/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2.0"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0" fontId="6" numFmtId="0" xfId="0" applyAlignment="1" applyFont="1">
      <alignment readingOrder="0"/>
    </xf>
    <xf borderId="3" fillId="3" fontId="7" numFmtId="0" xfId="0" applyAlignment="1" applyBorder="1" applyFill="1" applyFont="1">
      <alignment readingOrder="0"/>
    </xf>
    <xf borderId="3" fillId="3" fontId="1" numFmtId="166" xfId="0" applyAlignment="1" applyBorder="1" applyFont="1" applyNumberFormat="1">
      <alignment horizontal="center"/>
    </xf>
    <xf borderId="3" fillId="3" fontId="1" numFmtId="0" xfId="0" applyAlignment="1" applyBorder="1" applyFont="1">
      <alignment horizontal="center"/>
    </xf>
    <xf borderId="3" fillId="3" fontId="1" numFmtId="166" xfId="0" applyAlignment="1" applyBorder="1" applyFont="1" applyNumberFormat="1">
      <alignment horizontal="center"/>
    </xf>
    <xf borderId="0" fillId="0" fontId="1" numFmtId="167" xfId="0" applyFont="1" applyNumberFormat="1"/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Pivot_Category!$B$1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Pivot_Category!$A$2:$A$5</c:f>
            </c:strRef>
          </c:cat>
          <c:val>
            <c:numRef>
              <c:f>Pivot_Category!$B$2:$B$5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vs. Date -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Pivot_Monthly!$B$1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Pivot_Monthly!$A$2:$A$4</c:f>
            </c:strRef>
          </c:cat>
          <c:val>
            <c:numRef>
              <c:f>Pivot_Monthly!$B$2:$B$4</c:f>
              <c:numCache/>
            </c:numRef>
          </c:val>
          <c:smooth val="0"/>
        </c:ser>
        <c:axId val="1093510987"/>
        <c:axId val="753774261"/>
      </c:lineChart>
      <c:catAx>
        <c:axId val="1093510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774261"/>
      </c:catAx>
      <c:valAx>
        <c:axId val="753774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510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Pivot_Category!$B$1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Pivot_Category!$A$2:$A$5</c:f>
            </c:strRef>
          </c:cat>
          <c:val>
            <c:numRef>
              <c:f>Pivot_Category!$B$2:$B$5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vs. Date -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Pivot_Monthly!$B$1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Pivot_Monthly!$A$2:$A$4</c:f>
            </c:strRef>
          </c:cat>
          <c:val>
            <c:numRef>
              <c:f>Pivot_Monthly!$B$2:$B$4</c:f>
              <c:numCache/>
            </c:numRef>
          </c:val>
          <c:smooth val="0"/>
        </c:ser>
        <c:axId val="161671618"/>
        <c:axId val="744436215"/>
      </c:lineChart>
      <c:catAx>
        <c:axId val="161671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436215"/>
      </c:catAx>
      <c:valAx>
        <c:axId val="744436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71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2</xdr:row>
      <xdr:rowOff>76200</xdr:rowOff>
    </xdr:from>
    <xdr:ext cx="3438525" cy="2124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809625</xdr:colOff>
      <xdr:row>1</xdr:row>
      <xdr:rowOff>47625</xdr:rowOff>
    </xdr:from>
    <xdr:ext cx="4019550" cy="2486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190500</xdr:rowOff>
    </xdr:from>
    <xdr:ext cx="5400675" cy="2695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9</xdr:row>
      <xdr:rowOff>190500</xdr:rowOff>
    </xdr:from>
    <xdr:ext cx="4400550" cy="2695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01" sheet="Data"/>
  </cacheSource>
  <cacheFields>
    <cacheField name="Date" numFmtId="164">
      <sharedItems containsSemiMixedTypes="0" containsDate="1" containsString="0"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1T00:00:00Z"/>
        <d v="2025-09-12T00:00:00Z"/>
        <d v="2025-09-13T00:00:00Z"/>
        <d v="2025-09-14T00:00:00Z"/>
        <d v="2025-09-15T00:00:00Z"/>
        <d v="2025-09-18T00:00:00Z"/>
        <d v="2025-09-21T00:00:00Z"/>
        <d v="2025-09-22T00:00:00Z"/>
        <d v="2025-09-23T00:00:00Z"/>
        <d v="2025-09-24T00:00:00Z"/>
        <d v="2025-09-26T00:00:00Z"/>
        <d v="2025-09-27T00:00:00Z"/>
        <d v="2025-09-28T00:00:00Z"/>
        <d v="2025-09-29T00:00:00Z"/>
        <d v="2025-09-30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</sharedItems>
    </cacheField>
    <cacheField name="Category" numFmtId="0">
      <sharedItems>
        <s v="Shopping"/>
        <s v="Personal Care"/>
        <s v="Food &amp; Drinks"/>
        <s v="Transportation"/>
      </sharedItems>
    </cacheField>
    <cacheField name="Merchant" numFmtId="0">
      <sharedItems>
        <s v="SM Store"/>
        <s v="Uniqlo"/>
        <s v="Barber Shop"/>
        <s v="Starbucks"/>
        <s v="Mercury Drug"/>
        <s v="Watsons"/>
        <s v="Jeepney"/>
        <s v="7-Eleven"/>
        <s v="McDo"/>
        <s v="Miniso"/>
        <s v="Bus"/>
        <s v="Taxi"/>
        <s v="Lazada"/>
        <s v="Jollibee"/>
        <s v="Shopee"/>
        <s v="Grab"/>
        <s v="Salon"/>
        <s v="Train"/>
        <s v="Chowking"/>
      </sharedItems>
    </cacheField>
    <cacheField name="Amount" numFmtId="0">
      <sharedItems containsSemiMixedTypes="0" containsString="0" containsNumber="1">
        <n v="1905.92"/>
        <n v="543.55"/>
        <n v="305.47"/>
        <n v="887.82"/>
        <n v="344.92"/>
        <n v="102.81"/>
        <n v="329.52"/>
        <n v="175.18"/>
        <n v="377.9"/>
        <n v="141.09"/>
        <n v="70.71"/>
        <n v="679.2"/>
        <n v="80.8"/>
        <n v="120.86"/>
        <n v="160.28"/>
        <n v="76.26"/>
        <n v="758.19"/>
        <n v="375.14"/>
        <n v="214.08"/>
        <n v="336.3"/>
        <n v="118.04"/>
        <n v="195.79"/>
        <n v="1790.36"/>
        <n v="454.53"/>
        <n v="315.85"/>
        <n v="1882.8"/>
        <n v="287.93"/>
        <n v="711.04"/>
        <n v="1876.86"/>
        <n v="387.73"/>
        <n v="1407.71"/>
        <n v="79.13"/>
        <n v="110.04"/>
        <n v="177.83"/>
        <n v="80.7"/>
        <n v="300.95"/>
        <n v="485.41"/>
        <n v="234.63"/>
        <n v="213.74"/>
        <n v="85.49"/>
        <n v="942.38"/>
        <n v="786.38"/>
        <n v="813.5"/>
        <n v="1913.18"/>
        <n v="172.93"/>
        <n v="78.09"/>
        <n v="686.5"/>
        <n v="207.8"/>
        <n v="237.51"/>
        <n v="1698.38"/>
        <n v="715.54"/>
        <n v="306.41"/>
        <n v="109.38"/>
        <n v="96.86"/>
        <n v="91.9"/>
        <n v="237.36"/>
        <n v="422.42"/>
        <n v="527.3"/>
        <n v="239.85"/>
        <n v="98.4"/>
        <n v="471.4"/>
        <n v="56.2"/>
        <n v="237.77"/>
        <n v="1711.79"/>
        <n v="1518.83"/>
        <n v="369.57"/>
        <n v="665.48"/>
        <n v="757.92"/>
        <n v="74.73"/>
        <n v="339.59"/>
        <n v="372.87"/>
        <n v="1289.32"/>
        <n v="179.39"/>
        <n v="562.97"/>
        <n v="277.84"/>
        <n v="228.95"/>
        <n v="1943.64"/>
        <n v="579.37"/>
        <n v="79.38"/>
        <n v="377.61"/>
        <n v="436.83"/>
        <n v="1500.57"/>
        <n v="393.44"/>
        <n v="218.79"/>
        <n v="700.63"/>
        <n v="460.98"/>
        <n v="926.59"/>
        <n v="700.34"/>
        <n v="546.99"/>
        <n v="174.04"/>
        <n v="93.65"/>
        <n v="566.02"/>
        <n v="1707.74"/>
        <n v="622.52"/>
        <n v="334.97"/>
        <n v="289.83"/>
        <n v="911.0"/>
        <n v="142.17"/>
        <n v="138.52"/>
        <n v="519.45"/>
        <n v="581.68"/>
        <n v="585.95"/>
        <n v="389.97"/>
        <n v="476.39"/>
        <n v="151.03"/>
        <n v="108.24"/>
        <n v="186.94"/>
        <n v="347.49"/>
        <n v="402.46"/>
        <n v="434.99"/>
        <n v="294.99"/>
        <n v="129.04"/>
        <n v="43.24"/>
        <n v="188.25"/>
        <n v="318.09"/>
        <n v="88.08"/>
        <n v="1923.3"/>
        <n v="183.22"/>
        <n v="159.95"/>
        <n v="272.38"/>
        <n v="333.3"/>
        <n v="1701.19"/>
        <n v="283.56"/>
        <n v="242.16"/>
        <n v="294.77"/>
        <n v="160.08"/>
        <n v="773.94"/>
        <n v="190.71"/>
        <n v="1311.6"/>
        <n v="53.89"/>
        <n v="27.57"/>
        <n v="281.24"/>
        <n v="229.84"/>
        <n v="304.08"/>
        <n v="1174.35"/>
        <n v="365.41"/>
        <n v="538.61"/>
        <n v="330.01"/>
        <n v="117.38"/>
        <n v="254.69"/>
        <n v="110.65"/>
        <n v="264.3"/>
        <n v="84.9"/>
        <n v="363.72"/>
        <n v="146.85"/>
        <n v="204.62"/>
        <n v="772.63"/>
        <n v="342.21"/>
        <n v="780.69"/>
        <n v="156.24"/>
        <n v="228.7"/>
        <n v="392.95"/>
        <n v="1992.47"/>
        <n v="1784.46"/>
        <n v="1330.8"/>
        <n v="480.03"/>
        <n v="757.08"/>
        <n v="557.88"/>
        <n v="968.35"/>
        <n v="785.25"/>
        <n v="263.13"/>
        <n v="36.55"/>
        <n v="84.39"/>
        <n v="41.66"/>
        <n v="215.51"/>
        <n v="203.33"/>
        <n v="1105.89"/>
        <n v="405.95"/>
        <n v="79.39"/>
        <n v="700.15"/>
        <n v="474.53"/>
        <n v="1281.3"/>
        <n v="395.58"/>
        <n v="1076.92"/>
        <n v="168.98"/>
        <n v="185.84"/>
        <n v="128.39"/>
        <n v="652.35"/>
        <n v="238.27"/>
        <n v="332.94"/>
        <n v="250.98"/>
        <n v="169.42"/>
        <n v="256.88"/>
        <n v="86.04"/>
        <n v="104.11"/>
        <n v="151.22"/>
        <n v="163.49"/>
        <n v="205.01"/>
        <n v="107.75"/>
        <n v="355.33"/>
        <n v="501.83"/>
        <n v="47.11"/>
        <n v="120.62"/>
        <n v="309.73"/>
        <n v="176.8"/>
        <n v="131.57"/>
        <n v="389.63"/>
        <n v="141.21"/>
        <n v="24.16"/>
        <n v="144.91"/>
      </sharedItems>
    </cacheField>
    <cacheField name="Payment Method" numFmtId="0">
      <sharedItems>
        <s v="Cash"/>
        <s v="Debit Card"/>
        <s v="GCash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00" sheet="Data"/>
  </cacheSource>
  <cacheFields>
    <cacheField name="Date" numFmtId="164">
      <sharedItems containsNonDate="0" containsDate="1" containsString="0" containsBlank="1" minDate="2025-09-01T00:00:00Z" maxDate="2025-12-01T00:00:00Z"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1T00:00:00Z"/>
        <d v="2025-09-12T00:00:00Z"/>
        <d v="2025-09-13T00:00:00Z"/>
        <d v="2025-09-14T00:00:00Z"/>
        <d v="2025-09-15T00:00:00Z"/>
        <d v="2025-09-18T00:00:00Z"/>
        <d v="2025-09-21T00:00:00Z"/>
        <d v="2025-09-22T00:00:00Z"/>
        <d v="2025-09-23T00:00:00Z"/>
        <d v="2025-09-24T00:00:00Z"/>
        <d v="2025-09-26T00:00:00Z"/>
        <d v="2025-09-27T00:00:00Z"/>
        <d v="2025-09-28T00:00:00Z"/>
        <d v="2025-09-29T00:00:00Z"/>
        <d v="2025-09-30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m/>
      </sharedItems>
      <fieldGroup base="0">
        <rangePr autoStart="0" autoEnd="0" groupBy="months" startDate="2025-09-01T00:00:00Z" endDate="2025-12-01T00:00:00Z"/>
        <groupItems>
          <s v="&lt;09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1/25"/>
        </groupItems>
      </fieldGroup>
    </cacheField>
    <cacheField name="Category" numFmtId="0">
      <sharedItems containsBlank="1">
        <s v="Shopping"/>
        <s v="Personal Care"/>
        <s v="Food &amp; Drinks"/>
        <s v="Transportation"/>
        <m/>
      </sharedItems>
    </cacheField>
    <cacheField name="Merchant" numFmtId="0">
      <sharedItems containsBlank="1">
        <s v="SM Store"/>
        <s v="Uniqlo"/>
        <s v="Barber Shop"/>
        <s v="Starbucks"/>
        <s v="Mercury Drug"/>
        <s v="Watsons"/>
        <s v="Jeepney"/>
        <s v="7-Eleven"/>
        <s v="McDo"/>
        <s v="Miniso"/>
        <s v="Bus"/>
        <s v="Taxi"/>
        <s v="Lazada"/>
        <s v="Jollibee"/>
        <s v="Shopee"/>
        <s v="Grab"/>
        <s v="Salon"/>
        <s v="Train"/>
        <s v="Chowking"/>
        <m/>
      </sharedItems>
    </cacheField>
    <cacheField name="Amount" numFmtId="0">
      <sharedItems containsString="0" containsBlank="1" containsNumber="1">
        <n v="1905.92"/>
        <n v="543.55"/>
        <n v="305.47"/>
        <n v="887.82"/>
        <n v="344.92"/>
        <n v="102.81"/>
        <n v="329.52"/>
        <n v="175.18"/>
        <n v="377.9"/>
        <n v="141.09"/>
        <n v="70.71"/>
        <n v="679.2"/>
        <n v="80.8"/>
        <n v="120.86"/>
        <n v="160.28"/>
        <n v="76.26"/>
        <n v="758.19"/>
        <n v="375.14"/>
        <n v="214.08"/>
        <n v="336.3"/>
        <n v="118.04"/>
        <n v="195.79"/>
        <n v="1790.36"/>
        <n v="454.53"/>
        <n v="315.85"/>
        <n v="1882.8"/>
        <n v="287.93"/>
        <n v="711.04"/>
        <n v="1876.86"/>
        <n v="387.73"/>
        <n v="1407.71"/>
        <n v="79.13"/>
        <n v="110.04"/>
        <n v="177.83"/>
        <n v="80.7"/>
        <n v="300.95"/>
        <n v="485.41"/>
        <n v="234.63"/>
        <n v="213.74"/>
        <n v="85.49"/>
        <n v="942.38"/>
        <n v="786.38"/>
        <n v="813.5"/>
        <n v="1913.18"/>
        <n v="172.93"/>
        <n v="78.09"/>
        <n v="686.5"/>
        <n v="207.8"/>
        <n v="237.51"/>
        <n v="1698.38"/>
        <n v="715.54"/>
        <n v="306.41"/>
        <n v="109.38"/>
        <n v="96.86"/>
        <n v="91.9"/>
        <n v="237.36"/>
        <n v="422.42"/>
        <n v="527.3"/>
        <n v="239.85"/>
        <n v="98.4"/>
        <n v="471.4"/>
        <n v="56.2"/>
        <n v="237.77"/>
        <n v="1711.79"/>
        <n v="1518.83"/>
        <n v="369.57"/>
        <n v="665.48"/>
        <n v="757.92"/>
        <n v="74.73"/>
        <n v="339.59"/>
        <n v="372.87"/>
        <n v="1289.32"/>
        <n v="179.39"/>
        <n v="562.97"/>
        <n v="277.84"/>
        <n v="228.95"/>
        <n v="1943.64"/>
        <n v="579.37"/>
        <n v="79.38"/>
        <n v="377.61"/>
        <n v="436.83"/>
        <n v="1500.57"/>
        <n v="393.44"/>
        <n v="218.79"/>
        <n v="700.63"/>
        <n v="460.98"/>
        <n v="926.59"/>
        <n v="700.34"/>
        <n v="546.99"/>
        <n v="174.04"/>
        <n v="93.65"/>
        <n v="566.02"/>
        <n v="1707.74"/>
        <n v="622.52"/>
        <n v="334.97"/>
        <n v="289.83"/>
        <n v="911.0"/>
        <n v="142.17"/>
        <n v="138.52"/>
        <n v="519.45"/>
        <n v="581.68"/>
        <n v="585.95"/>
        <n v="389.97"/>
        <n v="476.39"/>
        <n v="151.03"/>
        <n v="108.24"/>
        <n v="186.94"/>
        <n v="347.49"/>
        <n v="402.46"/>
        <n v="434.99"/>
        <n v="294.99"/>
        <n v="129.04"/>
        <n v="43.24"/>
        <n v="188.25"/>
        <n v="318.09"/>
        <n v="88.08"/>
        <n v="1923.3"/>
        <n v="183.22"/>
        <n v="159.95"/>
        <n v="272.38"/>
        <n v="333.3"/>
        <n v="1701.19"/>
        <n v="283.56"/>
        <n v="242.16"/>
        <n v="294.77"/>
        <n v="160.08"/>
        <n v="773.94"/>
        <n v="190.71"/>
        <n v="1311.6"/>
        <n v="53.89"/>
        <n v="27.57"/>
        <n v="281.24"/>
        <n v="229.84"/>
        <n v="304.08"/>
        <n v="1174.35"/>
        <n v="365.41"/>
        <n v="538.61"/>
        <n v="330.01"/>
        <n v="117.38"/>
        <n v="254.69"/>
        <n v="110.65"/>
        <n v="264.3"/>
        <n v="84.9"/>
        <n v="363.72"/>
        <n v="146.85"/>
        <n v="204.62"/>
        <n v="772.63"/>
        <n v="342.21"/>
        <n v="780.69"/>
        <n v="156.24"/>
        <n v="228.7"/>
        <n v="392.95"/>
        <n v="1992.47"/>
        <n v="1784.46"/>
        <n v="1330.8"/>
        <n v="480.03"/>
        <n v="757.08"/>
        <n v="557.88"/>
        <n v="968.35"/>
        <n v="785.25"/>
        <n v="263.13"/>
        <n v="36.55"/>
        <n v="84.39"/>
        <n v="41.66"/>
        <n v="215.51"/>
        <n v="203.33"/>
        <n v="1105.89"/>
        <n v="405.95"/>
        <n v="79.39"/>
        <n v="700.15"/>
        <n v="474.53"/>
        <n v="1281.3"/>
        <n v="395.58"/>
        <n v="1076.92"/>
        <n v="168.98"/>
        <n v="185.84"/>
        <n v="128.39"/>
        <n v="652.35"/>
        <n v="238.27"/>
        <n v="332.94"/>
        <n v="250.98"/>
        <n v="169.42"/>
        <n v="256.88"/>
        <n v="86.04"/>
        <n v="104.11"/>
        <n v="151.22"/>
        <n v="163.49"/>
        <n v="205.01"/>
        <n v="107.75"/>
        <n v="355.33"/>
        <n v="501.83"/>
        <n v="47.11"/>
        <n v="120.62"/>
        <n v="309.73"/>
        <n v="176.8"/>
        <n v="131.57"/>
        <n v="389.63"/>
        <n v="141.21"/>
        <n v="24.16"/>
        <n v="144.91"/>
        <m/>
      </sharedItems>
    </cacheField>
    <cacheField name="Payment Method" numFmtId="0">
      <sharedItems containsBlank="1">
        <s v="Cash"/>
        <s v="Debit Card"/>
        <s v="GCash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Category" cacheId="0" dataCaption="" compact="0" compactData="0">
  <location ref="A1:B6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Category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Merch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dataFields>
    <dataField name="SUM of Amount" fld="3" baseField="0"/>
  </dataFields>
</pivotTableDefinition>
</file>

<file path=xl/pivotTables/pivotTable2.xml><?xml version="1.0" encoding="utf-8"?>
<pivotTableDefinition xmlns="http://schemas.openxmlformats.org/spreadsheetml/2006/main" name="Pivot_Monthly" cacheId="1" dataCaption="" compact="0" compactData="0">
  <location ref="A1:B5" firstHeaderRow="0" firstDataRow="1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rch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Amount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45901.0</v>
      </c>
      <c r="B2" s="1" t="s">
        <v>6</v>
      </c>
      <c r="C2" s="1" t="s">
        <v>7</v>
      </c>
      <c r="D2" s="1">
        <v>1905.92</v>
      </c>
      <c r="E2" s="1" t="s">
        <v>8</v>
      </c>
    </row>
    <row r="3">
      <c r="A3" s="3">
        <v>45901.0</v>
      </c>
      <c r="B3" s="1" t="s">
        <v>6</v>
      </c>
      <c r="C3" s="1" t="s">
        <v>9</v>
      </c>
      <c r="D3" s="1">
        <v>543.55</v>
      </c>
      <c r="E3" s="1" t="s">
        <v>10</v>
      </c>
    </row>
    <row r="4">
      <c r="A4" s="3">
        <v>45901.0</v>
      </c>
      <c r="B4" s="1" t="s">
        <v>11</v>
      </c>
      <c r="C4" s="1" t="s">
        <v>12</v>
      </c>
      <c r="D4" s="1">
        <v>305.47</v>
      </c>
      <c r="E4" s="1" t="s">
        <v>13</v>
      </c>
    </row>
    <row r="5">
      <c r="A5" s="3">
        <v>45902.0</v>
      </c>
      <c r="B5" s="1" t="s">
        <v>6</v>
      </c>
      <c r="C5" s="1" t="s">
        <v>9</v>
      </c>
      <c r="D5" s="1">
        <v>887.82</v>
      </c>
      <c r="E5" s="1" t="s">
        <v>10</v>
      </c>
    </row>
    <row r="6">
      <c r="A6" s="3">
        <v>45902.0</v>
      </c>
      <c r="B6" s="1" t="s">
        <v>14</v>
      </c>
      <c r="C6" s="1" t="s">
        <v>15</v>
      </c>
      <c r="D6" s="1">
        <v>344.92</v>
      </c>
      <c r="E6" s="1" t="s">
        <v>10</v>
      </c>
    </row>
    <row r="7">
      <c r="A7" s="3">
        <v>45902.0</v>
      </c>
      <c r="B7" s="1" t="s">
        <v>11</v>
      </c>
      <c r="C7" s="1" t="s">
        <v>16</v>
      </c>
      <c r="D7" s="1">
        <v>102.81</v>
      </c>
      <c r="E7" s="1" t="s">
        <v>13</v>
      </c>
    </row>
    <row r="8">
      <c r="A8" s="3">
        <v>45902.0</v>
      </c>
      <c r="B8" s="1" t="s">
        <v>11</v>
      </c>
      <c r="C8" s="1" t="s">
        <v>17</v>
      </c>
      <c r="D8" s="1">
        <v>329.52</v>
      </c>
      <c r="E8" s="1" t="s">
        <v>13</v>
      </c>
    </row>
    <row r="9">
      <c r="A9" s="3">
        <v>45903.0</v>
      </c>
      <c r="B9" s="1" t="s">
        <v>18</v>
      </c>
      <c r="C9" s="1" t="s">
        <v>19</v>
      </c>
      <c r="D9" s="1">
        <v>175.18</v>
      </c>
      <c r="E9" s="1" t="s">
        <v>8</v>
      </c>
    </row>
    <row r="10">
      <c r="A10" s="3">
        <v>45903.0</v>
      </c>
      <c r="B10" s="1" t="s">
        <v>14</v>
      </c>
      <c r="C10" s="1" t="s">
        <v>20</v>
      </c>
      <c r="D10" s="1">
        <v>377.9</v>
      </c>
      <c r="E10" s="1" t="s">
        <v>8</v>
      </c>
    </row>
    <row r="11">
      <c r="A11" s="3">
        <v>45903.0</v>
      </c>
      <c r="B11" s="1" t="s">
        <v>14</v>
      </c>
      <c r="C11" s="1" t="s">
        <v>21</v>
      </c>
      <c r="D11" s="1">
        <v>141.09</v>
      </c>
      <c r="E11" s="1" t="s">
        <v>10</v>
      </c>
    </row>
    <row r="12">
      <c r="A12" s="3">
        <v>45903.0</v>
      </c>
      <c r="B12" s="1" t="s">
        <v>11</v>
      </c>
      <c r="C12" s="1" t="s">
        <v>22</v>
      </c>
      <c r="D12" s="1">
        <v>70.71</v>
      </c>
      <c r="E12" s="1" t="s">
        <v>13</v>
      </c>
    </row>
    <row r="13">
      <c r="A13" s="3">
        <v>45904.0</v>
      </c>
      <c r="B13" s="1" t="s">
        <v>11</v>
      </c>
      <c r="C13" s="1" t="s">
        <v>22</v>
      </c>
      <c r="D13" s="1">
        <v>679.2</v>
      </c>
      <c r="E13" s="1" t="s">
        <v>10</v>
      </c>
    </row>
    <row r="14">
      <c r="A14" s="3">
        <v>45904.0</v>
      </c>
      <c r="B14" s="1" t="s">
        <v>11</v>
      </c>
      <c r="C14" s="1" t="s">
        <v>17</v>
      </c>
      <c r="D14" s="1">
        <v>80.8</v>
      </c>
      <c r="E14" s="1" t="s">
        <v>13</v>
      </c>
    </row>
    <row r="15">
      <c r="A15" s="3">
        <v>45904.0</v>
      </c>
      <c r="B15" s="1" t="s">
        <v>14</v>
      </c>
      <c r="C15" s="1" t="s">
        <v>20</v>
      </c>
      <c r="D15" s="1">
        <v>120.86</v>
      </c>
      <c r="E15" s="1" t="s">
        <v>13</v>
      </c>
    </row>
    <row r="16">
      <c r="A16" s="3">
        <v>45904.0</v>
      </c>
      <c r="B16" s="1" t="s">
        <v>14</v>
      </c>
      <c r="C16" s="1" t="s">
        <v>21</v>
      </c>
      <c r="D16" s="1">
        <v>160.28</v>
      </c>
      <c r="E16" s="1" t="s">
        <v>10</v>
      </c>
    </row>
    <row r="17">
      <c r="A17" s="3">
        <v>45905.0</v>
      </c>
      <c r="B17" s="1" t="s">
        <v>18</v>
      </c>
      <c r="C17" s="1" t="s">
        <v>19</v>
      </c>
      <c r="D17" s="1">
        <v>76.26</v>
      </c>
      <c r="E17" s="1" t="s">
        <v>10</v>
      </c>
    </row>
    <row r="18">
      <c r="A18" s="3">
        <v>45905.0</v>
      </c>
      <c r="B18" s="1" t="s">
        <v>11</v>
      </c>
      <c r="C18" s="1" t="s">
        <v>16</v>
      </c>
      <c r="D18" s="1">
        <v>758.19</v>
      </c>
      <c r="E18" s="1" t="s">
        <v>8</v>
      </c>
    </row>
    <row r="19">
      <c r="A19" s="3">
        <v>45906.0</v>
      </c>
      <c r="B19" s="1" t="s">
        <v>11</v>
      </c>
      <c r="C19" s="1" t="s">
        <v>22</v>
      </c>
      <c r="D19" s="1">
        <v>375.14</v>
      </c>
      <c r="E19" s="1" t="s">
        <v>10</v>
      </c>
    </row>
    <row r="20">
      <c r="A20" s="3">
        <v>45906.0</v>
      </c>
      <c r="B20" s="1" t="s">
        <v>18</v>
      </c>
      <c r="C20" s="1" t="s">
        <v>23</v>
      </c>
      <c r="D20" s="1">
        <v>214.08</v>
      </c>
      <c r="E20" s="1" t="s">
        <v>10</v>
      </c>
    </row>
    <row r="21">
      <c r="A21" s="3">
        <v>45907.0</v>
      </c>
      <c r="B21" s="1" t="s">
        <v>14</v>
      </c>
      <c r="C21" s="1" t="s">
        <v>15</v>
      </c>
      <c r="D21" s="1">
        <v>336.3</v>
      </c>
      <c r="E21" s="1" t="s">
        <v>8</v>
      </c>
    </row>
    <row r="22">
      <c r="A22" s="3">
        <v>45907.0</v>
      </c>
      <c r="B22" s="1" t="s">
        <v>18</v>
      </c>
      <c r="C22" s="1" t="s">
        <v>24</v>
      </c>
      <c r="D22" s="1">
        <v>118.04</v>
      </c>
      <c r="E22" s="1" t="s">
        <v>13</v>
      </c>
    </row>
    <row r="23">
      <c r="A23" s="3">
        <v>45908.0</v>
      </c>
      <c r="B23" s="1" t="s">
        <v>11</v>
      </c>
      <c r="C23" s="1" t="s">
        <v>17</v>
      </c>
      <c r="D23" s="1">
        <v>195.79</v>
      </c>
      <c r="E23" s="1" t="s">
        <v>8</v>
      </c>
    </row>
    <row r="24">
      <c r="A24" s="3">
        <v>45908.0</v>
      </c>
      <c r="B24" s="1" t="s">
        <v>6</v>
      </c>
      <c r="C24" s="1" t="s">
        <v>25</v>
      </c>
      <c r="D24" s="1">
        <v>1790.36</v>
      </c>
      <c r="E24" s="1" t="s">
        <v>8</v>
      </c>
    </row>
    <row r="25">
      <c r="A25" s="3">
        <v>45908.0</v>
      </c>
      <c r="B25" s="1" t="s">
        <v>11</v>
      </c>
      <c r="C25" s="1" t="s">
        <v>17</v>
      </c>
      <c r="D25" s="1">
        <v>454.53</v>
      </c>
      <c r="E25" s="1" t="s">
        <v>13</v>
      </c>
    </row>
    <row r="26">
      <c r="A26" s="3">
        <v>45909.0</v>
      </c>
      <c r="B26" s="1" t="s">
        <v>14</v>
      </c>
      <c r="C26" s="1" t="s">
        <v>26</v>
      </c>
      <c r="D26" s="1">
        <v>315.85</v>
      </c>
      <c r="E26" s="1" t="s">
        <v>10</v>
      </c>
    </row>
    <row r="27">
      <c r="A27" s="3">
        <v>45909.0</v>
      </c>
      <c r="B27" s="1" t="s">
        <v>6</v>
      </c>
      <c r="C27" s="1" t="s">
        <v>9</v>
      </c>
      <c r="D27" s="1">
        <v>1882.8</v>
      </c>
      <c r="E27" s="1" t="s">
        <v>8</v>
      </c>
    </row>
    <row r="28">
      <c r="A28" s="3">
        <v>45909.0</v>
      </c>
      <c r="B28" s="1" t="s">
        <v>14</v>
      </c>
      <c r="C28" s="1" t="s">
        <v>15</v>
      </c>
      <c r="D28" s="1">
        <v>287.93</v>
      </c>
      <c r="E28" s="1" t="s">
        <v>13</v>
      </c>
    </row>
    <row r="29">
      <c r="A29" s="3">
        <v>45909.0</v>
      </c>
      <c r="B29" s="1" t="s">
        <v>6</v>
      </c>
      <c r="C29" s="1" t="s">
        <v>25</v>
      </c>
      <c r="D29" s="1">
        <v>711.04</v>
      </c>
      <c r="E29" s="1" t="s">
        <v>10</v>
      </c>
    </row>
    <row r="30">
      <c r="A30" s="3">
        <v>45911.0</v>
      </c>
      <c r="B30" s="1" t="s">
        <v>6</v>
      </c>
      <c r="C30" s="1" t="s">
        <v>9</v>
      </c>
      <c r="D30" s="1">
        <v>1876.86</v>
      </c>
      <c r="E30" s="1" t="s">
        <v>13</v>
      </c>
    </row>
    <row r="31">
      <c r="A31" s="3">
        <v>45912.0</v>
      </c>
      <c r="B31" s="1" t="s">
        <v>6</v>
      </c>
      <c r="C31" s="1" t="s">
        <v>27</v>
      </c>
      <c r="D31" s="1">
        <v>387.73</v>
      </c>
      <c r="E31" s="1" t="s">
        <v>10</v>
      </c>
    </row>
    <row r="32">
      <c r="A32" s="3">
        <v>45913.0</v>
      </c>
      <c r="B32" s="1" t="s">
        <v>6</v>
      </c>
      <c r="C32" s="1" t="s">
        <v>9</v>
      </c>
      <c r="D32" s="1">
        <v>1407.71</v>
      </c>
      <c r="E32" s="1" t="s">
        <v>8</v>
      </c>
    </row>
    <row r="33">
      <c r="A33" s="3">
        <v>45914.0</v>
      </c>
      <c r="B33" s="1" t="s">
        <v>11</v>
      </c>
      <c r="C33" s="1" t="s">
        <v>16</v>
      </c>
      <c r="D33" s="1">
        <v>79.13</v>
      </c>
      <c r="E33" s="1" t="s">
        <v>8</v>
      </c>
    </row>
    <row r="34">
      <c r="A34" s="3">
        <v>45914.0</v>
      </c>
      <c r="B34" s="1" t="s">
        <v>14</v>
      </c>
      <c r="C34" s="1" t="s">
        <v>20</v>
      </c>
      <c r="D34" s="1">
        <v>110.04</v>
      </c>
      <c r="E34" s="1" t="s">
        <v>8</v>
      </c>
    </row>
    <row r="35">
      <c r="A35" s="3">
        <v>45914.0</v>
      </c>
      <c r="B35" s="1" t="s">
        <v>18</v>
      </c>
      <c r="C35" s="1" t="s">
        <v>28</v>
      </c>
      <c r="D35" s="1">
        <v>177.83</v>
      </c>
      <c r="E35" s="1" t="s">
        <v>10</v>
      </c>
    </row>
    <row r="36">
      <c r="A36" s="3">
        <v>45915.0</v>
      </c>
      <c r="B36" s="1" t="s">
        <v>18</v>
      </c>
      <c r="C36" s="1" t="s">
        <v>24</v>
      </c>
      <c r="D36" s="1">
        <v>80.7</v>
      </c>
      <c r="E36" s="1" t="s">
        <v>10</v>
      </c>
    </row>
    <row r="37">
      <c r="A37" s="3">
        <v>45915.0</v>
      </c>
      <c r="B37" s="1" t="s">
        <v>6</v>
      </c>
      <c r="C37" s="1" t="s">
        <v>9</v>
      </c>
      <c r="D37" s="1">
        <v>300.95</v>
      </c>
      <c r="E37" s="1" t="s">
        <v>10</v>
      </c>
    </row>
    <row r="38">
      <c r="A38" s="3">
        <v>45915.0</v>
      </c>
      <c r="B38" s="1" t="s">
        <v>11</v>
      </c>
      <c r="C38" s="1" t="s">
        <v>29</v>
      </c>
      <c r="D38" s="1">
        <v>485.41</v>
      </c>
      <c r="E38" s="1" t="s">
        <v>10</v>
      </c>
    </row>
    <row r="39">
      <c r="A39" s="3">
        <v>45915.0</v>
      </c>
      <c r="B39" s="1" t="s">
        <v>18</v>
      </c>
      <c r="C39" s="1" t="s">
        <v>23</v>
      </c>
      <c r="D39" s="1">
        <v>234.63</v>
      </c>
      <c r="E39" s="1" t="s">
        <v>13</v>
      </c>
    </row>
    <row r="40">
      <c r="A40" s="3">
        <v>45915.0</v>
      </c>
      <c r="B40" s="1" t="s">
        <v>14</v>
      </c>
      <c r="C40" s="1" t="s">
        <v>20</v>
      </c>
      <c r="D40" s="1">
        <v>213.74</v>
      </c>
      <c r="E40" s="1" t="s">
        <v>13</v>
      </c>
    </row>
    <row r="41">
      <c r="A41" s="3">
        <v>45915.0</v>
      </c>
      <c r="B41" s="1" t="s">
        <v>14</v>
      </c>
      <c r="C41" s="1" t="s">
        <v>26</v>
      </c>
      <c r="D41" s="1">
        <v>85.49</v>
      </c>
      <c r="E41" s="1" t="s">
        <v>10</v>
      </c>
    </row>
    <row r="42">
      <c r="A42" s="3">
        <v>45918.0</v>
      </c>
      <c r="B42" s="1" t="s">
        <v>6</v>
      </c>
      <c r="C42" s="1" t="s">
        <v>17</v>
      </c>
      <c r="D42" s="1">
        <v>942.38</v>
      </c>
      <c r="E42" s="1" t="s">
        <v>8</v>
      </c>
    </row>
    <row r="43">
      <c r="A43" s="3">
        <v>45918.0</v>
      </c>
      <c r="B43" s="1" t="s">
        <v>11</v>
      </c>
      <c r="C43" s="1" t="s">
        <v>17</v>
      </c>
      <c r="D43" s="1">
        <v>786.38</v>
      </c>
      <c r="E43" s="1" t="s">
        <v>8</v>
      </c>
    </row>
    <row r="44">
      <c r="A44" s="3">
        <v>45921.0</v>
      </c>
      <c r="B44" s="1" t="s">
        <v>6</v>
      </c>
      <c r="C44" s="1" t="s">
        <v>17</v>
      </c>
      <c r="D44" s="1">
        <v>813.5</v>
      </c>
      <c r="E44" s="1" t="s">
        <v>13</v>
      </c>
    </row>
    <row r="45">
      <c r="A45" s="3">
        <v>45921.0</v>
      </c>
      <c r="B45" s="1" t="s">
        <v>6</v>
      </c>
      <c r="C45" s="1" t="s">
        <v>7</v>
      </c>
      <c r="D45" s="1">
        <v>1913.18</v>
      </c>
      <c r="E45" s="1" t="s">
        <v>13</v>
      </c>
    </row>
    <row r="46">
      <c r="A46" s="3">
        <v>45921.0</v>
      </c>
      <c r="B46" s="1" t="s">
        <v>18</v>
      </c>
      <c r="C46" s="1" t="s">
        <v>23</v>
      </c>
      <c r="D46" s="1">
        <v>172.93</v>
      </c>
      <c r="E46" s="1" t="s">
        <v>13</v>
      </c>
    </row>
    <row r="47">
      <c r="A47" s="3">
        <v>45922.0</v>
      </c>
      <c r="B47" s="1" t="s">
        <v>18</v>
      </c>
      <c r="C47" s="1" t="s">
        <v>19</v>
      </c>
      <c r="D47" s="1">
        <v>78.09</v>
      </c>
      <c r="E47" s="1" t="s">
        <v>10</v>
      </c>
    </row>
    <row r="48">
      <c r="A48" s="3">
        <v>45922.0</v>
      </c>
      <c r="B48" s="1" t="s">
        <v>11</v>
      </c>
      <c r="C48" s="1" t="s">
        <v>12</v>
      </c>
      <c r="D48" s="1">
        <v>686.5</v>
      </c>
      <c r="E48" s="1" t="s">
        <v>13</v>
      </c>
    </row>
    <row r="49">
      <c r="A49" s="3">
        <v>45923.0</v>
      </c>
      <c r="B49" s="1" t="s">
        <v>18</v>
      </c>
      <c r="C49" s="1" t="s">
        <v>28</v>
      </c>
      <c r="D49" s="1">
        <v>207.8</v>
      </c>
      <c r="E49" s="1" t="s">
        <v>13</v>
      </c>
    </row>
    <row r="50">
      <c r="A50" s="3">
        <v>45923.0</v>
      </c>
      <c r="B50" s="1" t="s">
        <v>11</v>
      </c>
      <c r="C50" s="1" t="s">
        <v>17</v>
      </c>
      <c r="D50" s="1">
        <v>237.51</v>
      </c>
      <c r="E50" s="1" t="s">
        <v>8</v>
      </c>
    </row>
    <row r="51">
      <c r="A51" s="3">
        <v>45924.0</v>
      </c>
      <c r="B51" s="1" t="s">
        <v>6</v>
      </c>
      <c r="C51" s="1" t="s">
        <v>27</v>
      </c>
      <c r="D51" s="1">
        <v>1698.38</v>
      </c>
      <c r="E51" s="1" t="s">
        <v>13</v>
      </c>
    </row>
    <row r="52">
      <c r="A52" s="3">
        <v>45924.0</v>
      </c>
      <c r="B52" s="1" t="s">
        <v>6</v>
      </c>
      <c r="C52" s="1" t="s">
        <v>7</v>
      </c>
      <c r="D52" s="1">
        <v>715.54</v>
      </c>
      <c r="E52" s="1" t="s">
        <v>13</v>
      </c>
    </row>
    <row r="53">
      <c r="A53" s="3">
        <v>45924.0</v>
      </c>
      <c r="B53" s="1" t="s">
        <v>11</v>
      </c>
      <c r="C53" s="1" t="s">
        <v>16</v>
      </c>
      <c r="D53" s="1">
        <v>306.41</v>
      </c>
      <c r="E53" s="1" t="s">
        <v>10</v>
      </c>
    </row>
    <row r="54">
      <c r="A54" s="3">
        <v>45926.0</v>
      </c>
      <c r="B54" s="1" t="s">
        <v>14</v>
      </c>
      <c r="C54" s="1" t="s">
        <v>20</v>
      </c>
      <c r="D54" s="1">
        <v>109.38</v>
      </c>
      <c r="E54" s="1" t="s">
        <v>8</v>
      </c>
    </row>
    <row r="55">
      <c r="A55" s="3">
        <v>45927.0</v>
      </c>
      <c r="B55" s="1" t="s">
        <v>18</v>
      </c>
      <c r="C55" s="1" t="s">
        <v>23</v>
      </c>
      <c r="D55" s="1">
        <v>96.86</v>
      </c>
      <c r="E55" s="1" t="s">
        <v>8</v>
      </c>
    </row>
    <row r="56">
      <c r="A56" s="3">
        <v>45927.0</v>
      </c>
      <c r="B56" s="1" t="s">
        <v>11</v>
      </c>
      <c r="C56" s="1" t="s">
        <v>12</v>
      </c>
      <c r="D56" s="1">
        <v>91.9</v>
      </c>
      <c r="E56" s="1" t="s">
        <v>13</v>
      </c>
    </row>
    <row r="57">
      <c r="A57" s="3">
        <v>45927.0</v>
      </c>
      <c r="B57" s="1" t="s">
        <v>18</v>
      </c>
      <c r="C57" s="1" t="s">
        <v>19</v>
      </c>
      <c r="D57" s="1">
        <v>237.36</v>
      </c>
      <c r="E57" s="1" t="s">
        <v>10</v>
      </c>
    </row>
    <row r="58">
      <c r="A58" s="3">
        <v>45928.0</v>
      </c>
      <c r="B58" s="1" t="s">
        <v>11</v>
      </c>
      <c r="C58" s="1" t="s">
        <v>17</v>
      </c>
      <c r="D58" s="1">
        <v>422.42</v>
      </c>
      <c r="E58" s="1" t="s">
        <v>13</v>
      </c>
    </row>
    <row r="59">
      <c r="A59" s="3">
        <v>45928.0</v>
      </c>
      <c r="B59" s="1" t="s">
        <v>11</v>
      </c>
      <c r="C59" s="1" t="s">
        <v>12</v>
      </c>
      <c r="D59" s="1">
        <v>527.3</v>
      </c>
      <c r="E59" s="1" t="s">
        <v>10</v>
      </c>
    </row>
    <row r="60">
      <c r="A60" s="3">
        <v>45928.0</v>
      </c>
      <c r="B60" s="1" t="s">
        <v>18</v>
      </c>
      <c r="C60" s="1" t="s">
        <v>23</v>
      </c>
      <c r="D60" s="1">
        <v>239.85</v>
      </c>
      <c r="E60" s="1" t="s">
        <v>8</v>
      </c>
    </row>
    <row r="61">
      <c r="A61" s="3">
        <v>45928.0</v>
      </c>
      <c r="B61" s="1" t="s">
        <v>18</v>
      </c>
      <c r="C61" s="1" t="s">
        <v>30</v>
      </c>
      <c r="D61" s="1">
        <v>98.4</v>
      </c>
      <c r="E61" s="1" t="s">
        <v>13</v>
      </c>
    </row>
    <row r="62">
      <c r="A62" s="3">
        <v>45929.0</v>
      </c>
      <c r="B62" s="1" t="s">
        <v>11</v>
      </c>
      <c r="C62" s="1" t="s">
        <v>16</v>
      </c>
      <c r="D62" s="1">
        <v>471.4</v>
      </c>
      <c r="E62" s="1" t="s">
        <v>8</v>
      </c>
    </row>
    <row r="63">
      <c r="A63" s="3">
        <v>45929.0</v>
      </c>
      <c r="B63" s="1" t="s">
        <v>18</v>
      </c>
      <c r="C63" s="1" t="s">
        <v>24</v>
      </c>
      <c r="D63" s="1">
        <v>56.2</v>
      </c>
      <c r="E63" s="1" t="s">
        <v>8</v>
      </c>
    </row>
    <row r="64">
      <c r="A64" s="3">
        <v>45930.0</v>
      </c>
      <c r="B64" s="1" t="s">
        <v>14</v>
      </c>
      <c r="C64" s="1" t="s">
        <v>15</v>
      </c>
      <c r="D64" s="1">
        <v>237.77</v>
      </c>
      <c r="E64" s="1" t="s">
        <v>13</v>
      </c>
    </row>
    <row r="65">
      <c r="A65" s="3">
        <v>45930.0</v>
      </c>
      <c r="B65" s="1" t="s">
        <v>6</v>
      </c>
      <c r="C65" s="1" t="s">
        <v>7</v>
      </c>
      <c r="D65" s="1">
        <v>1711.79</v>
      </c>
      <c r="E65" s="1" t="s">
        <v>10</v>
      </c>
    </row>
    <row r="66">
      <c r="A66" s="3">
        <v>45932.0</v>
      </c>
      <c r="B66" s="1" t="s">
        <v>6</v>
      </c>
      <c r="C66" s="1" t="s">
        <v>7</v>
      </c>
      <c r="D66" s="1">
        <v>1518.83</v>
      </c>
      <c r="E66" s="1" t="s">
        <v>8</v>
      </c>
    </row>
    <row r="67">
      <c r="A67" s="3">
        <v>45932.0</v>
      </c>
      <c r="B67" s="1" t="s">
        <v>11</v>
      </c>
      <c r="C67" s="1" t="s">
        <v>12</v>
      </c>
      <c r="D67" s="1">
        <v>369.57</v>
      </c>
      <c r="E67" s="1" t="s">
        <v>13</v>
      </c>
    </row>
    <row r="68">
      <c r="A68" s="3">
        <v>45933.0</v>
      </c>
      <c r="B68" s="1" t="s">
        <v>11</v>
      </c>
      <c r="C68" s="1" t="s">
        <v>22</v>
      </c>
      <c r="D68" s="1">
        <v>665.48</v>
      </c>
      <c r="E68" s="1" t="s">
        <v>8</v>
      </c>
    </row>
    <row r="69">
      <c r="A69" s="3">
        <v>45933.0</v>
      </c>
      <c r="B69" s="1" t="s">
        <v>11</v>
      </c>
      <c r="C69" s="1" t="s">
        <v>16</v>
      </c>
      <c r="D69" s="1">
        <v>757.92</v>
      </c>
      <c r="E69" s="1" t="s">
        <v>10</v>
      </c>
    </row>
    <row r="70">
      <c r="A70" s="3">
        <v>45933.0</v>
      </c>
      <c r="B70" s="1" t="s">
        <v>18</v>
      </c>
      <c r="C70" s="1" t="s">
        <v>28</v>
      </c>
      <c r="D70" s="1">
        <v>74.73</v>
      </c>
      <c r="E70" s="1" t="s">
        <v>10</v>
      </c>
    </row>
    <row r="71">
      <c r="A71" s="3">
        <v>45934.0</v>
      </c>
      <c r="B71" s="1" t="s">
        <v>14</v>
      </c>
      <c r="C71" s="1" t="s">
        <v>15</v>
      </c>
      <c r="D71" s="1">
        <v>339.59</v>
      </c>
      <c r="E71" s="1" t="s">
        <v>8</v>
      </c>
    </row>
    <row r="72">
      <c r="A72" s="3">
        <v>45934.0</v>
      </c>
      <c r="B72" s="1" t="s">
        <v>14</v>
      </c>
      <c r="C72" s="1" t="s">
        <v>31</v>
      </c>
      <c r="D72" s="1">
        <v>372.87</v>
      </c>
      <c r="E72" s="1" t="s">
        <v>13</v>
      </c>
    </row>
    <row r="73">
      <c r="A73" s="3">
        <v>45935.0</v>
      </c>
      <c r="B73" s="1" t="s">
        <v>6</v>
      </c>
      <c r="C73" s="1" t="s">
        <v>7</v>
      </c>
      <c r="D73" s="1">
        <v>1289.32</v>
      </c>
      <c r="E73" s="1" t="s">
        <v>8</v>
      </c>
    </row>
    <row r="74">
      <c r="A74" s="3">
        <v>45935.0</v>
      </c>
      <c r="B74" s="1" t="s">
        <v>18</v>
      </c>
      <c r="C74" s="1" t="s">
        <v>30</v>
      </c>
      <c r="D74" s="1">
        <v>179.39</v>
      </c>
      <c r="E74" s="1" t="s">
        <v>10</v>
      </c>
    </row>
    <row r="75">
      <c r="A75" s="3">
        <v>45935.0</v>
      </c>
      <c r="B75" s="1" t="s">
        <v>11</v>
      </c>
      <c r="C75" s="1" t="s">
        <v>22</v>
      </c>
      <c r="D75" s="1">
        <v>562.97</v>
      </c>
      <c r="E75" s="1" t="s">
        <v>10</v>
      </c>
    </row>
    <row r="76">
      <c r="A76" s="3">
        <v>45935.0</v>
      </c>
      <c r="B76" s="1" t="s">
        <v>14</v>
      </c>
      <c r="C76" s="1" t="s">
        <v>20</v>
      </c>
      <c r="D76" s="1">
        <v>277.84</v>
      </c>
      <c r="E76" s="1" t="s">
        <v>13</v>
      </c>
    </row>
    <row r="77">
      <c r="A77" s="3">
        <v>45936.0</v>
      </c>
      <c r="B77" s="1" t="s">
        <v>11</v>
      </c>
      <c r="C77" s="1" t="s">
        <v>22</v>
      </c>
      <c r="D77" s="1">
        <v>228.95</v>
      </c>
      <c r="E77" s="1" t="s">
        <v>13</v>
      </c>
    </row>
    <row r="78">
      <c r="A78" s="3">
        <v>45936.0</v>
      </c>
      <c r="B78" s="1" t="s">
        <v>6</v>
      </c>
      <c r="C78" s="1" t="s">
        <v>7</v>
      </c>
      <c r="D78" s="1">
        <v>1943.64</v>
      </c>
      <c r="E78" s="1" t="s">
        <v>8</v>
      </c>
    </row>
    <row r="79">
      <c r="A79" s="3">
        <v>45937.0</v>
      </c>
      <c r="B79" s="1" t="s">
        <v>11</v>
      </c>
      <c r="C79" s="1" t="s">
        <v>29</v>
      </c>
      <c r="D79" s="1">
        <v>579.37</v>
      </c>
      <c r="E79" s="1" t="s">
        <v>10</v>
      </c>
    </row>
    <row r="80">
      <c r="A80" s="3">
        <v>45937.0</v>
      </c>
      <c r="B80" s="1" t="s">
        <v>18</v>
      </c>
      <c r="C80" s="1" t="s">
        <v>28</v>
      </c>
      <c r="D80" s="1">
        <v>79.38</v>
      </c>
      <c r="E80" s="1" t="s">
        <v>10</v>
      </c>
    </row>
    <row r="81">
      <c r="A81" s="3">
        <v>45938.0</v>
      </c>
      <c r="B81" s="1" t="s">
        <v>14</v>
      </c>
      <c r="C81" s="1" t="s">
        <v>15</v>
      </c>
      <c r="D81" s="1">
        <v>377.61</v>
      </c>
      <c r="E81" s="1" t="s">
        <v>13</v>
      </c>
    </row>
    <row r="82">
      <c r="A82" s="3">
        <v>45939.0</v>
      </c>
      <c r="B82" s="1" t="s">
        <v>6</v>
      </c>
      <c r="C82" s="1" t="s">
        <v>17</v>
      </c>
      <c r="D82" s="1">
        <v>436.83</v>
      </c>
      <c r="E82" s="1" t="s">
        <v>8</v>
      </c>
    </row>
    <row r="83">
      <c r="A83" s="3">
        <v>45940.0</v>
      </c>
      <c r="B83" s="1" t="s">
        <v>6</v>
      </c>
      <c r="C83" s="1" t="s">
        <v>17</v>
      </c>
      <c r="D83" s="1">
        <v>1500.57</v>
      </c>
      <c r="E83" s="1" t="s">
        <v>8</v>
      </c>
    </row>
    <row r="84">
      <c r="A84" s="3">
        <v>45941.0</v>
      </c>
      <c r="B84" s="1" t="s">
        <v>14</v>
      </c>
      <c r="C84" s="1" t="s">
        <v>15</v>
      </c>
      <c r="D84" s="1">
        <v>393.44</v>
      </c>
      <c r="E84" s="1" t="s">
        <v>10</v>
      </c>
    </row>
    <row r="85">
      <c r="A85" s="3">
        <v>45941.0</v>
      </c>
      <c r="B85" s="1" t="s">
        <v>18</v>
      </c>
      <c r="C85" s="1" t="s">
        <v>28</v>
      </c>
      <c r="D85" s="1">
        <v>218.79</v>
      </c>
      <c r="E85" s="1" t="s">
        <v>13</v>
      </c>
    </row>
    <row r="86">
      <c r="A86" s="3">
        <v>45942.0</v>
      </c>
      <c r="B86" s="1" t="s">
        <v>6</v>
      </c>
      <c r="C86" s="1" t="s">
        <v>25</v>
      </c>
      <c r="D86" s="1">
        <v>700.63</v>
      </c>
      <c r="E86" s="1" t="s">
        <v>13</v>
      </c>
    </row>
    <row r="87">
      <c r="A87" s="3">
        <v>45942.0</v>
      </c>
      <c r="B87" s="1" t="s">
        <v>11</v>
      </c>
      <c r="C87" s="1" t="s">
        <v>16</v>
      </c>
      <c r="D87" s="1">
        <v>460.98</v>
      </c>
      <c r="E87" s="1" t="s">
        <v>10</v>
      </c>
    </row>
    <row r="88">
      <c r="A88" s="3">
        <v>45942.0</v>
      </c>
      <c r="B88" s="1" t="s">
        <v>6</v>
      </c>
      <c r="C88" s="1" t="s">
        <v>27</v>
      </c>
      <c r="D88" s="1">
        <v>926.59</v>
      </c>
      <c r="E88" s="1" t="s">
        <v>8</v>
      </c>
    </row>
    <row r="89">
      <c r="A89" s="3">
        <v>45943.0</v>
      </c>
      <c r="B89" s="1" t="s">
        <v>11</v>
      </c>
      <c r="C89" s="1" t="s">
        <v>17</v>
      </c>
      <c r="D89" s="1">
        <v>700.34</v>
      </c>
      <c r="E89" s="1" t="s">
        <v>8</v>
      </c>
    </row>
    <row r="90">
      <c r="A90" s="3">
        <v>45944.0</v>
      </c>
      <c r="B90" s="1" t="s">
        <v>6</v>
      </c>
      <c r="C90" s="1" t="s">
        <v>17</v>
      </c>
      <c r="D90" s="1">
        <v>546.99</v>
      </c>
      <c r="E90" s="1" t="s">
        <v>8</v>
      </c>
    </row>
    <row r="91">
      <c r="A91" s="3">
        <v>45944.0</v>
      </c>
      <c r="B91" s="1" t="s">
        <v>18</v>
      </c>
      <c r="C91" s="1" t="s">
        <v>24</v>
      </c>
      <c r="D91" s="1">
        <v>174.04</v>
      </c>
      <c r="E91" s="1" t="s">
        <v>13</v>
      </c>
    </row>
    <row r="92">
      <c r="A92" s="3">
        <v>45944.0</v>
      </c>
      <c r="B92" s="1" t="s">
        <v>11</v>
      </c>
      <c r="C92" s="1" t="s">
        <v>12</v>
      </c>
      <c r="D92" s="1">
        <v>93.65</v>
      </c>
      <c r="E92" s="1" t="s">
        <v>13</v>
      </c>
    </row>
    <row r="93">
      <c r="A93" s="3">
        <v>45944.0</v>
      </c>
      <c r="B93" s="1" t="s">
        <v>11</v>
      </c>
      <c r="C93" s="1" t="s">
        <v>12</v>
      </c>
      <c r="D93" s="1">
        <v>566.02</v>
      </c>
      <c r="E93" s="1" t="s">
        <v>13</v>
      </c>
    </row>
    <row r="94">
      <c r="A94" s="3">
        <v>45944.0</v>
      </c>
      <c r="B94" s="1" t="s">
        <v>6</v>
      </c>
      <c r="C94" s="1" t="s">
        <v>27</v>
      </c>
      <c r="D94" s="1">
        <v>1707.74</v>
      </c>
      <c r="E94" s="1" t="s">
        <v>8</v>
      </c>
    </row>
    <row r="95">
      <c r="A95" s="3">
        <v>45945.0</v>
      </c>
      <c r="B95" s="1" t="s">
        <v>11</v>
      </c>
      <c r="C95" s="1" t="s">
        <v>29</v>
      </c>
      <c r="D95" s="1">
        <v>622.52</v>
      </c>
      <c r="E95" s="1" t="s">
        <v>8</v>
      </c>
    </row>
    <row r="96">
      <c r="A96" s="3">
        <v>45945.0</v>
      </c>
      <c r="B96" s="1" t="s">
        <v>6</v>
      </c>
      <c r="C96" s="1" t="s">
        <v>17</v>
      </c>
      <c r="D96" s="1">
        <v>334.97</v>
      </c>
      <c r="E96" s="1" t="s">
        <v>13</v>
      </c>
    </row>
    <row r="97">
      <c r="A97" s="3">
        <v>45947.0</v>
      </c>
      <c r="B97" s="1" t="s">
        <v>14</v>
      </c>
      <c r="C97" s="1" t="s">
        <v>31</v>
      </c>
      <c r="D97" s="1">
        <v>289.83</v>
      </c>
      <c r="E97" s="1" t="s">
        <v>8</v>
      </c>
    </row>
    <row r="98">
      <c r="A98" s="3">
        <v>45947.0</v>
      </c>
      <c r="B98" s="1" t="s">
        <v>6</v>
      </c>
      <c r="C98" s="1" t="s">
        <v>9</v>
      </c>
      <c r="D98" s="1">
        <v>911.0</v>
      </c>
      <c r="E98" s="1" t="s">
        <v>13</v>
      </c>
    </row>
    <row r="99">
      <c r="A99" s="3">
        <v>45947.0</v>
      </c>
      <c r="B99" s="1" t="s">
        <v>14</v>
      </c>
      <c r="C99" s="1" t="s">
        <v>15</v>
      </c>
      <c r="D99" s="1">
        <v>142.17</v>
      </c>
      <c r="E99" s="1" t="s">
        <v>8</v>
      </c>
    </row>
    <row r="100">
      <c r="A100" s="3">
        <v>45948.0</v>
      </c>
      <c r="B100" s="1" t="s">
        <v>14</v>
      </c>
      <c r="C100" s="1" t="s">
        <v>15</v>
      </c>
      <c r="D100" s="1">
        <v>138.52</v>
      </c>
      <c r="E100" s="1" t="s">
        <v>10</v>
      </c>
    </row>
    <row r="101">
      <c r="A101" s="3">
        <v>45948.0</v>
      </c>
      <c r="B101" s="1" t="s">
        <v>11</v>
      </c>
      <c r="C101" s="1" t="s">
        <v>29</v>
      </c>
      <c r="D101" s="1">
        <v>519.45</v>
      </c>
      <c r="E101" s="1" t="s">
        <v>8</v>
      </c>
    </row>
    <row r="102">
      <c r="A102" s="3">
        <v>45949.0</v>
      </c>
      <c r="B102" s="1" t="s">
        <v>11</v>
      </c>
      <c r="C102" s="1" t="s">
        <v>12</v>
      </c>
      <c r="D102" s="1">
        <v>581.68</v>
      </c>
      <c r="E102" s="1" t="s">
        <v>13</v>
      </c>
    </row>
    <row r="103">
      <c r="A103" s="3">
        <v>45950.0</v>
      </c>
      <c r="B103" s="1" t="s">
        <v>11</v>
      </c>
      <c r="C103" s="1" t="s">
        <v>17</v>
      </c>
      <c r="D103" s="1">
        <v>585.95</v>
      </c>
      <c r="E103" s="1" t="s">
        <v>13</v>
      </c>
    </row>
    <row r="104">
      <c r="A104" s="3">
        <v>45951.0</v>
      </c>
      <c r="B104" s="1" t="s">
        <v>14</v>
      </c>
      <c r="C104" s="1" t="s">
        <v>31</v>
      </c>
      <c r="D104" s="1">
        <v>389.97</v>
      </c>
      <c r="E104" s="1" t="s">
        <v>13</v>
      </c>
    </row>
    <row r="105">
      <c r="A105" s="3">
        <v>45951.0</v>
      </c>
      <c r="B105" s="1" t="s">
        <v>11</v>
      </c>
      <c r="C105" s="1" t="s">
        <v>12</v>
      </c>
      <c r="D105" s="1">
        <v>476.39</v>
      </c>
      <c r="E105" s="1" t="s">
        <v>8</v>
      </c>
    </row>
    <row r="106">
      <c r="A106" s="3">
        <v>45951.0</v>
      </c>
      <c r="B106" s="1" t="s">
        <v>18</v>
      </c>
      <c r="C106" s="1" t="s">
        <v>23</v>
      </c>
      <c r="D106" s="1">
        <v>151.03</v>
      </c>
      <c r="E106" s="1" t="s">
        <v>8</v>
      </c>
    </row>
    <row r="107">
      <c r="A107" s="3">
        <v>45951.0</v>
      </c>
      <c r="B107" s="1" t="s">
        <v>18</v>
      </c>
      <c r="C107" s="1" t="s">
        <v>28</v>
      </c>
      <c r="D107" s="1">
        <v>108.24</v>
      </c>
      <c r="E107" s="1" t="s">
        <v>8</v>
      </c>
    </row>
    <row r="108">
      <c r="A108" s="3">
        <v>45952.0</v>
      </c>
      <c r="B108" s="1" t="s">
        <v>18</v>
      </c>
      <c r="C108" s="1" t="s">
        <v>19</v>
      </c>
      <c r="D108" s="1">
        <v>186.94</v>
      </c>
      <c r="E108" s="1" t="s">
        <v>8</v>
      </c>
    </row>
    <row r="109">
      <c r="A109" s="3">
        <v>45952.0</v>
      </c>
      <c r="B109" s="1" t="s">
        <v>11</v>
      </c>
      <c r="C109" s="1" t="s">
        <v>22</v>
      </c>
      <c r="D109" s="1">
        <v>347.49</v>
      </c>
      <c r="E109" s="1" t="s">
        <v>10</v>
      </c>
    </row>
    <row r="110">
      <c r="A110" s="3">
        <v>45952.0</v>
      </c>
      <c r="B110" s="1" t="s">
        <v>11</v>
      </c>
      <c r="C110" s="1" t="s">
        <v>16</v>
      </c>
      <c r="D110" s="1">
        <v>402.46</v>
      </c>
      <c r="E110" s="1" t="s">
        <v>13</v>
      </c>
    </row>
    <row r="111">
      <c r="A111" s="3">
        <v>45952.0</v>
      </c>
      <c r="B111" s="1" t="s">
        <v>11</v>
      </c>
      <c r="C111" s="1" t="s">
        <v>22</v>
      </c>
      <c r="D111" s="1">
        <v>434.99</v>
      </c>
      <c r="E111" s="1" t="s">
        <v>10</v>
      </c>
    </row>
    <row r="112">
      <c r="A112" s="3">
        <v>45953.0</v>
      </c>
      <c r="B112" s="1" t="s">
        <v>11</v>
      </c>
      <c r="C112" s="1" t="s">
        <v>16</v>
      </c>
      <c r="D112" s="1">
        <v>294.99</v>
      </c>
      <c r="E112" s="1" t="s">
        <v>10</v>
      </c>
    </row>
    <row r="113">
      <c r="A113" s="3">
        <v>45953.0</v>
      </c>
      <c r="B113" s="1" t="s">
        <v>18</v>
      </c>
      <c r="C113" s="1" t="s">
        <v>23</v>
      </c>
      <c r="D113" s="1">
        <v>129.04</v>
      </c>
      <c r="E113" s="1" t="s">
        <v>8</v>
      </c>
    </row>
    <row r="114">
      <c r="A114" s="3">
        <v>45953.0</v>
      </c>
      <c r="B114" s="1" t="s">
        <v>18</v>
      </c>
      <c r="C114" s="1" t="s">
        <v>19</v>
      </c>
      <c r="D114" s="1">
        <v>43.24</v>
      </c>
      <c r="E114" s="1" t="s">
        <v>13</v>
      </c>
    </row>
    <row r="115">
      <c r="A115" s="3">
        <v>45954.0</v>
      </c>
      <c r="B115" s="1" t="s">
        <v>11</v>
      </c>
      <c r="C115" s="1" t="s">
        <v>29</v>
      </c>
      <c r="D115" s="1">
        <v>188.25</v>
      </c>
      <c r="E115" s="1" t="s">
        <v>13</v>
      </c>
    </row>
    <row r="116">
      <c r="A116" s="3">
        <v>45954.0</v>
      </c>
      <c r="B116" s="1" t="s">
        <v>14</v>
      </c>
      <c r="C116" s="1" t="s">
        <v>20</v>
      </c>
      <c r="D116" s="1">
        <v>318.09</v>
      </c>
      <c r="E116" s="1" t="s">
        <v>8</v>
      </c>
    </row>
    <row r="117">
      <c r="A117" s="3">
        <v>45955.0</v>
      </c>
      <c r="B117" s="1" t="s">
        <v>11</v>
      </c>
      <c r="C117" s="1" t="s">
        <v>12</v>
      </c>
      <c r="D117" s="1">
        <v>88.08</v>
      </c>
      <c r="E117" s="1" t="s">
        <v>8</v>
      </c>
    </row>
    <row r="118">
      <c r="A118" s="3">
        <v>45957.0</v>
      </c>
      <c r="B118" s="1" t="s">
        <v>6</v>
      </c>
      <c r="C118" s="1" t="s">
        <v>7</v>
      </c>
      <c r="D118" s="1">
        <v>1923.3</v>
      </c>
      <c r="E118" s="1" t="s">
        <v>10</v>
      </c>
    </row>
    <row r="119">
      <c r="A119" s="3">
        <v>45958.0</v>
      </c>
      <c r="B119" s="1" t="s">
        <v>14</v>
      </c>
      <c r="C119" s="1" t="s">
        <v>31</v>
      </c>
      <c r="D119" s="1">
        <v>183.22</v>
      </c>
      <c r="E119" s="1" t="s">
        <v>8</v>
      </c>
    </row>
    <row r="120">
      <c r="A120" s="3">
        <v>45958.0</v>
      </c>
      <c r="B120" s="1" t="s">
        <v>11</v>
      </c>
      <c r="C120" s="1" t="s">
        <v>12</v>
      </c>
      <c r="D120" s="1">
        <v>159.95</v>
      </c>
      <c r="E120" s="1" t="s">
        <v>10</v>
      </c>
    </row>
    <row r="121">
      <c r="A121" s="3">
        <v>45959.0</v>
      </c>
      <c r="B121" s="1" t="s">
        <v>11</v>
      </c>
      <c r="C121" s="1" t="s">
        <v>29</v>
      </c>
      <c r="D121" s="1">
        <v>272.38</v>
      </c>
      <c r="E121" s="1" t="s">
        <v>10</v>
      </c>
    </row>
    <row r="122">
      <c r="A122" s="3">
        <v>45959.0</v>
      </c>
      <c r="B122" s="1" t="s">
        <v>11</v>
      </c>
      <c r="C122" s="1" t="s">
        <v>12</v>
      </c>
      <c r="D122" s="1">
        <v>333.3</v>
      </c>
      <c r="E122" s="1" t="s">
        <v>10</v>
      </c>
    </row>
    <row r="123">
      <c r="A123" s="3">
        <v>45959.0</v>
      </c>
      <c r="B123" s="1" t="s">
        <v>6</v>
      </c>
      <c r="C123" s="1" t="s">
        <v>17</v>
      </c>
      <c r="D123" s="1">
        <v>1701.19</v>
      </c>
      <c r="E123" s="1" t="s">
        <v>13</v>
      </c>
    </row>
    <row r="124">
      <c r="A124" s="3">
        <v>45960.0</v>
      </c>
      <c r="B124" s="1" t="s">
        <v>11</v>
      </c>
      <c r="C124" s="1" t="s">
        <v>17</v>
      </c>
      <c r="D124" s="1">
        <v>283.56</v>
      </c>
      <c r="E124" s="1" t="s">
        <v>13</v>
      </c>
    </row>
    <row r="125">
      <c r="A125" s="3">
        <v>45960.0</v>
      </c>
      <c r="B125" s="1" t="s">
        <v>11</v>
      </c>
      <c r="C125" s="1" t="s">
        <v>12</v>
      </c>
      <c r="D125" s="1">
        <v>242.16</v>
      </c>
      <c r="E125" s="1" t="s">
        <v>10</v>
      </c>
    </row>
    <row r="126">
      <c r="A126" s="3">
        <v>45960.0</v>
      </c>
      <c r="B126" s="1" t="s">
        <v>14</v>
      </c>
      <c r="C126" s="1" t="s">
        <v>21</v>
      </c>
      <c r="D126" s="1">
        <v>294.77</v>
      </c>
      <c r="E126" s="1" t="s">
        <v>10</v>
      </c>
    </row>
    <row r="127">
      <c r="A127" s="3">
        <v>45960.0</v>
      </c>
      <c r="B127" s="1" t="s">
        <v>14</v>
      </c>
      <c r="C127" s="1" t="s">
        <v>20</v>
      </c>
      <c r="D127" s="1">
        <v>160.08</v>
      </c>
      <c r="E127" s="1" t="s">
        <v>13</v>
      </c>
    </row>
    <row r="128">
      <c r="A128" s="3">
        <v>45960.0</v>
      </c>
      <c r="B128" s="1" t="s">
        <v>11</v>
      </c>
      <c r="C128" s="1" t="s">
        <v>17</v>
      </c>
      <c r="D128" s="1">
        <v>773.94</v>
      </c>
      <c r="E128" s="1" t="s">
        <v>13</v>
      </c>
    </row>
    <row r="129">
      <c r="A129" s="3">
        <v>45961.0</v>
      </c>
      <c r="B129" s="1" t="s">
        <v>18</v>
      </c>
      <c r="C129" s="1" t="s">
        <v>19</v>
      </c>
      <c r="D129" s="1">
        <v>190.71</v>
      </c>
      <c r="E129" s="1" t="s">
        <v>8</v>
      </c>
    </row>
    <row r="130">
      <c r="A130" s="3">
        <v>45962.0</v>
      </c>
      <c r="B130" s="1" t="s">
        <v>6</v>
      </c>
      <c r="C130" s="1" t="s">
        <v>25</v>
      </c>
      <c r="D130" s="1">
        <v>1311.6</v>
      </c>
      <c r="E130" s="1" t="s">
        <v>13</v>
      </c>
    </row>
    <row r="131">
      <c r="A131" s="3">
        <v>45962.0</v>
      </c>
      <c r="B131" s="1" t="s">
        <v>11</v>
      </c>
      <c r="C131" s="1" t="s">
        <v>22</v>
      </c>
      <c r="D131" s="1">
        <v>53.89</v>
      </c>
      <c r="E131" s="1" t="s">
        <v>8</v>
      </c>
    </row>
    <row r="132">
      <c r="A132" s="3">
        <v>45962.0</v>
      </c>
      <c r="B132" s="1" t="s">
        <v>18</v>
      </c>
      <c r="C132" s="1" t="s">
        <v>23</v>
      </c>
      <c r="D132" s="1">
        <v>27.57</v>
      </c>
      <c r="E132" s="1" t="s">
        <v>13</v>
      </c>
    </row>
    <row r="133">
      <c r="A133" s="3">
        <v>45962.0</v>
      </c>
      <c r="B133" s="1" t="s">
        <v>6</v>
      </c>
      <c r="C133" s="1" t="s">
        <v>25</v>
      </c>
      <c r="D133" s="1">
        <v>281.24</v>
      </c>
      <c r="E133" s="1" t="s">
        <v>10</v>
      </c>
    </row>
    <row r="134">
      <c r="A134" s="3">
        <v>45962.0</v>
      </c>
      <c r="B134" s="1" t="s">
        <v>11</v>
      </c>
      <c r="C134" s="1" t="s">
        <v>12</v>
      </c>
      <c r="D134" s="1">
        <v>229.84</v>
      </c>
      <c r="E134" s="1" t="s">
        <v>8</v>
      </c>
    </row>
    <row r="135">
      <c r="A135" s="3">
        <v>45962.0</v>
      </c>
      <c r="B135" s="1" t="s">
        <v>6</v>
      </c>
      <c r="C135" s="1" t="s">
        <v>27</v>
      </c>
      <c r="D135" s="1">
        <v>304.08</v>
      </c>
      <c r="E135" s="1" t="s">
        <v>13</v>
      </c>
    </row>
    <row r="136">
      <c r="A136" s="3">
        <v>45962.0</v>
      </c>
      <c r="B136" s="1" t="s">
        <v>6</v>
      </c>
      <c r="C136" s="1" t="s">
        <v>9</v>
      </c>
      <c r="D136" s="1">
        <v>1174.35</v>
      </c>
      <c r="E136" s="1" t="s">
        <v>8</v>
      </c>
    </row>
    <row r="137">
      <c r="A137" s="3">
        <v>45962.0</v>
      </c>
      <c r="B137" s="1" t="s">
        <v>14</v>
      </c>
      <c r="C137" s="1" t="s">
        <v>20</v>
      </c>
      <c r="D137" s="1">
        <v>365.41</v>
      </c>
      <c r="E137" s="1" t="s">
        <v>10</v>
      </c>
    </row>
    <row r="138">
      <c r="A138" s="3">
        <v>45962.0</v>
      </c>
      <c r="B138" s="1" t="s">
        <v>11</v>
      </c>
      <c r="C138" s="1" t="s">
        <v>17</v>
      </c>
      <c r="D138" s="1">
        <v>538.61</v>
      </c>
      <c r="E138" s="1" t="s">
        <v>8</v>
      </c>
    </row>
    <row r="139">
      <c r="A139" s="3">
        <v>45962.0</v>
      </c>
      <c r="B139" s="1" t="s">
        <v>14</v>
      </c>
      <c r="C139" s="1" t="s">
        <v>15</v>
      </c>
      <c r="D139" s="1">
        <v>330.01</v>
      </c>
      <c r="E139" s="1" t="s">
        <v>10</v>
      </c>
    </row>
    <row r="140">
      <c r="A140" s="3">
        <v>45962.0</v>
      </c>
      <c r="B140" s="1" t="s">
        <v>18</v>
      </c>
      <c r="C140" s="1" t="s">
        <v>19</v>
      </c>
      <c r="D140" s="1">
        <v>117.38</v>
      </c>
      <c r="E140" s="1" t="s">
        <v>8</v>
      </c>
    </row>
    <row r="141">
      <c r="A141" s="3">
        <v>45962.0</v>
      </c>
      <c r="B141" s="1" t="s">
        <v>14</v>
      </c>
      <c r="C141" s="1" t="s">
        <v>21</v>
      </c>
      <c r="D141" s="1">
        <v>254.69</v>
      </c>
      <c r="E141" s="1" t="s">
        <v>10</v>
      </c>
    </row>
    <row r="142">
      <c r="A142" s="3">
        <v>45963.0</v>
      </c>
      <c r="B142" s="1" t="s">
        <v>11</v>
      </c>
      <c r="C142" s="1" t="s">
        <v>16</v>
      </c>
      <c r="D142" s="1">
        <v>110.65</v>
      </c>
      <c r="E142" s="1" t="s">
        <v>13</v>
      </c>
    </row>
    <row r="143">
      <c r="A143" s="3">
        <v>45963.0</v>
      </c>
      <c r="B143" s="1" t="s">
        <v>14</v>
      </c>
      <c r="C143" s="1" t="s">
        <v>20</v>
      </c>
      <c r="D143" s="1">
        <v>264.3</v>
      </c>
      <c r="E143" s="1" t="s">
        <v>13</v>
      </c>
    </row>
    <row r="144">
      <c r="A144" s="3">
        <v>45963.0</v>
      </c>
      <c r="B144" s="1" t="s">
        <v>14</v>
      </c>
      <c r="C144" s="1" t="s">
        <v>20</v>
      </c>
      <c r="D144" s="1">
        <v>84.9</v>
      </c>
      <c r="E144" s="1" t="s">
        <v>8</v>
      </c>
    </row>
    <row r="145">
      <c r="A145" s="3">
        <v>45964.0</v>
      </c>
      <c r="B145" s="1" t="s">
        <v>14</v>
      </c>
      <c r="C145" s="1" t="s">
        <v>15</v>
      </c>
      <c r="D145" s="1">
        <v>363.72</v>
      </c>
      <c r="E145" s="1" t="s">
        <v>8</v>
      </c>
    </row>
    <row r="146">
      <c r="A146" s="3">
        <v>45964.0</v>
      </c>
      <c r="B146" s="1" t="s">
        <v>14</v>
      </c>
      <c r="C146" s="1" t="s">
        <v>15</v>
      </c>
      <c r="D146" s="1">
        <v>146.85</v>
      </c>
      <c r="E146" s="1" t="s">
        <v>10</v>
      </c>
    </row>
    <row r="147">
      <c r="A147" s="3">
        <v>45965.0</v>
      </c>
      <c r="B147" s="1" t="s">
        <v>18</v>
      </c>
      <c r="C147" s="1" t="s">
        <v>23</v>
      </c>
      <c r="D147" s="1">
        <v>204.62</v>
      </c>
      <c r="E147" s="1" t="s">
        <v>13</v>
      </c>
    </row>
    <row r="148">
      <c r="A148" s="3">
        <v>45965.0</v>
      </c>
      <c r="B148" s="1" t="s">
        <v>6</v>
      </c>
      <c r="C148" s="1" t="s">
        <v>7</v>
      </c>
      <c r="D148" s="1">
        <v>772.63</v>
      </c>
      <c r="E148" s="1" t="s">
        <v>8</v>
      </c>
    </row>
    <row r="149">
      <c r="A149" s="3">
        <v>45966.0</v>
      </c>
      <c r="B149" s="1" t="s">
        <v>11</v>
      </c>
      <c r="C149" s="1" t="s">
        <v>16</v>
      </c>
      <c r="D149" s="1">
        <v>342.21</v>
      </c>
      <c r="E149" s="1" t="s">
        <v>13</v>
      </c>
    </row>
    <row r="150">
      <c r="A150" s="3">
        <v>45970.0</v>
      </c>
      <c r="B150" s="1" t="s">
        <v>11</v>
      </c>
      <c r="C150" s="1" t="s">
        <v>16</v>
      </c>
      <c r="D150" s="1">
        <v>780.69</v>
      </c>
      <c r="E150" s="1" t="s">
        <v>8</v>
      </c>
    </row>
    <row r="151">
      <c r="A151" s="3">
        <v>45971.0</v>
      </c>
      <c r="B151" s="1" t="s">
        <v>14</v>
      </c>
      <c r="C151" s="1" t="s">
        <v>15</v>
      </c>
      <c r="D151" s="1">
        <v>156.24</v>
      </c>
      <c r="E151" s="1" t="s">
        <v>13</v>
      </c>
    </row>
    <row r="152">
      <c r="A152" s="3">
        <v>45971.0</v>
      </c>
      <c r="B152" s="1" t="s">
        <v>14</v>
      </c>
      <c r="C152" s="1" t="s">
        <v>26</v>
      </c>
      <c r="D152" s="1">
        <v>228.7</v>
      </c>
      <c r="E152" s="1" t="s">
        <v>13</v>
      </c>
    </row>
    <row r="153">
      <c r="A153" s="3">
        <v>45971.0</v>
      </c>
      <c r="B153" s="1" t="s">
        <v>11</v>
      </c>
      <c r="C153" s="1" t="s">
        <v>16</v>
      </c>
      <c r="D153" s="1">
        <v>392.95</v>
      </c>
      <c r="E153" s="1" t="s">
        <v>10</v>
      </c>
    </row>
    <row r="154">
      <c r="A154" s="3">
        <v>45972.0</v>
      </c>
      <c r="B154" s="1" t="s">
        <v>6</v>
      </c>
      <c r="C154" s="1" t="s">
        <v>17</v>
      </c>
      <c r="D154" s="1">
        <v>1992.47</v>
      </c>
      <c r="E154" s="1" t="s">
        <v>13</v>
      </c>
    </row>
    <row r="155">
      <c r="A155" s="3">
        <v>45972.0</v>
      </c>
      <c r="B155" s="1" t="s">
        <v>6</v>
      </c>
      <c r="C155" s="1" t="s">
        <v>27</v>
      </c>
      <c r="D155" s="1">
        <v>1784.46</v>
      </c>
      <c r="E155" s="1" t="s">
        <v>8</v>
      </c>
    </row>
    <row r="156">
      <c r="A156" s="3">
        <v>45972.0</v>
      </c>
      <c r="B156" s="1" t="s">
        <v>6</v>
      </c>
      <c r="C156" s="1" t="s">
        <v>25</v>
      </c>
      <c r="D156" s="1">
        <v>1330.8</v>
      </c>
      <c r="E156" s="1" t="s">
        <v>10</v>
      </c>
    </row>
    <row r="157">
      <c r="A157" s="3">
        <v>45972.0</v>
      </c>
      <c r="B157" s="1" t="s">
        <v>11</v>
      </c>
      <c r="C157" s="1" t="s">
        <v>17</v>
      </c>
      <c r="D157" s="1">
        <v>480.03</v>
      </c>
      <c r="E157" s="1" t="s">
        <v>10</v>
      </c>
    </row>
    <row r="158">
      <c r="A158" s="3">
        <v>45973.0</v>
      </c>
      <c r="B158" s="1" t="s">
        <v>6</v>
      </c>
      <c r="C158" s="1" t="s">
        <v>17</v>
      </c>
      <c r="D158" s="1">
        <v>757.08</v>
      </c>
      <c r="E158" s="1" t="s">
        <v>8</v>
      </c>
    </row>
    <row r="159">
      <c r="A159" s="3">
        <v>45973.0</v>
      </c>
      <c r="B159" s="1" t="s">
        <v>11</v>
      </c>
      <c r="C159" s="1" t="s">
        <v>22</v>
      </c>
      <c r="D159" s="1">
        <v>557.88</v>
      </c>
      <c r="E159" s="1" t="s">
        <v>13</v>
      </c>
    </row>
    <row r="160">
      <c r="A160" s="3">
        <v>45974.0</v>
      </c>
      <c r="B160" s="1" t="s">
        <v>6</v>
      </c>
      <c r="C160" s="1" t="s">
        <v>9</v>
      </c>
      <c r="D160" s="1">
        <v>968.35</v>
      </c>
      <c r="E160" s="1" t="s">
        <v>13</v>
      </c>
    </row>
    <row r="161">
      <c r="A161" s="3">
        <v>45975.0</v>
      </c>
      <c r="B161" s="1" t="s">
        <v>11</v>
      </c>
      <c r="C161" s="1" t="s">
        <v>22</v>
      </c>
      <c r="D161" s="1">
        <v>785.25</v>
      </c>
      <c r="E161" s="1" t="s">
        <v>8</v>
      </c>
    </row>
    <row r="162">
      <c r="A162" s="3">
        <v>45975.0</v>
      </c>
      <c r="B162" s="1" t="s">
        <v>14</v>
      </c>
      <c r="C162" s="1" t="s">
        <v>26</v>
      </c>
      <c r="D162" s="1">
        <v>263.13</v>
      </c>
      <c r="E162" s="1" t="s">
        <v>10</v>
      </c>
    </row>
    <row r="163">
      <c r="A163" s="3">
        <v>45975.0</v>
      </c>
      <c r="B163" s="1" t="s">
        <v>18</v>
      </c>
      <c r="C163" s="1" t="s">
        <v>19</v>
      </c>
      <c r="D163" s="1">
        <v>36.55</v>
      </c>
      <c r="E163" s="1" t="s">
        <v>10</v>
      </c>
    </row>
    <row r="164">
      <c r="A164" s="3">
        <v>45976.0</v>
      </c>
      <c r="B164" s="1" t="s">
        <v>18</v>
      </c>
      <c r="C164" s="1" t="s">
        <v>28</v>
      </c>
      <c r="D164" s="1">
        <v>84.39</v>
      </c>
      <c r="E164" s="1" t="s">
        <v>8</v>
      </c>
    </row>
    <row r="165">
      <c r="A165" s="3">
        <v>45977.0</v>
      </c>
      <c r="B165" s="1" t="s">
        <v>18</v>
      </c>
      <c r="C165" s="1" t="s">
        <v>24</v>
      </c>
      <c r="D165" s="1">
        <v>41.66</v>
      </c>
      <c r="E165" s="1" t="s">
        <v>10</v>
      </c>
    </row>
    <row r="166">
      <c r="A166" s="3">
        <v>45977.0</v>
      </c>
      <c r="B166" s="1" t="s">
        <v>14</v>
      </c>
      <c r="C166" s="1" t="s">
        <v>20</v>
      </c>
      <c r="D166" s="1">
        <v>215.51</v>
      </c>
      <c r="E166" s="1" t="s">
        <v>8</v>
      </c>
    </row>
    <row r="167">
      <c r="A167" s="3">
        <v>45978.0</v>
      </c>
      <c r="B167" s="1" t="s">
        <v>14</v>
      </c>
      <c r="C167" s="1" t="s">
        <v>20</v>
      </c>
      <c r="D167" s="1">
        <v>203.33</v>
      </c>
      <c r="E167" s="1" t="s">
        <v>10</v>
      </c>
    </row>
    <row r="168">
      <c r="A168" s="3">
        <v>45978.0</v>
      </c>
      <c r="B168" s="1" t="s">
        <v>6</v>
      </c>
      <c r="C168" s="1" t="s">
        <v>9</v>
      </c>
      <c r="D168" s="1">
        <v>1105.89</v>
      </c>
      <c r="E168" s="1" t="s">
        <v>8</v>
      </c>
    </row>
    <row r="169">
      <c r="A169" s="3">
        <v>45978.0</v>
      </c>
      <c r="B169" s="1" t="s">
        <v>6</v>
      </c>
      <c r="C169" s="1" t="s">
        <v>27</v>
      </c>
      <c r="D169" s="1">
        <v>405.95</v>
      </c>
      <c r="E169" s="1" t="s">
        <v>10</v>
      </c>
    </row>
    <row r="170">
      <c r="A170" s="3">
        <v>45979.0</v>
      </c>
      <c r="B170" s="1" t="s">
        <v>11</v>
      </c>
      <c r="C170" s="1" t="s">
        <v>22</v>
      </c>
      <c r="D170" s="1">
        <v>79.39</v>
      </c>
      <c r="E170" s="1" t="s">
        <v>8</v>
      </c>
    </row>
    <row r="171">
      <c r="A171" s="3">
        <v>45979.0</v>
      </c>
      <c r="B171" s="1" t="s">
        <v>11</v>
      </c>
      <c r="C171" s="1" t="s">
        <v>29</v>
      </c>
      <c r="D171" s="1">
        <v>700.15</v>
      </c>
      <c r="E171" s="1" t="s">
        <v>13</v>
      </c>
    </row>
    <row r="172">
      <c r="A172" s="3">
        <v>45980.0</v>
      </c>
      <c r="B172" s="1" t="s">
        <v>11</v>
      </c>
      <c r="C172" s="1" t="s">
        <v>16</v>
      </c>
      <c r="D172" s="1">
        <v>474.53</v>
      </c>
      <c r="E172" s="1" t="s">
        <v>8</v>
      </c>
    </row>
    <row r="173">
      <c r="A173" s="3">
        <v>45980.0</v>
      </c>
      <c r="B173" s="1" t="s">
        <v>6</v>
      </c>
      <c r="C173" s="1" t="s">
        <v>9</v>
      </c>
      <c r="D173" s="1">
        <v>1281.3</v>
      </c>
      <c r="E173" s="1" t="s">
        <v>8</v>
      </c>
    </row>
    <row r="174">
      <c r="A174" s="3">
        <v>45981.0</v>
      </c>
      <c r="B174" s="1" t="s">
        <v>6</v>
      </c>
      <c r="C174" s="1" t="s">
        <v>25</v>
      </c>
      <c r="D174" s="1">
        <v>395.58</v>
      </c>
      <c r="E174" s="1" t="s">
        <v>8</v>
      </c>
    </row>
    <row r="175">
      <c r="A175" s="3">
        <v>45981.0</v>
      </c>
      <c r="B175" s="1" t="s">
        <v>6</v>
      </c>
      <c r="C175" s="1" t="s">
        <v>25</v>
      </c>
      <c r="D175" s="1">
        <v>1076.92</v>
      </c>
      <c r="E175" s="1" t="s">
        <v>8</v>
      </c>
    </row>
    <row r="176">
      <c r="A176" s="3">
        <v>45982.0</v>
      </c>
      <c r="B176" s="1" t="s">
        <v>11</v>
      </c>
      <c r="C176" s="1" t="s">
        <v>17</v>
      </c>
      <c r="D176" s="1">
        <v>168.98</v>
      </c>
      <c r="E176" s="1" t="s">
        <v>8</v>
      </c>
    </row>
    <row r="177">
      <c r="A177" s="3">
        <v>45983.0</v>
      </c>
      <c r="B177" s="1" t="s">
        <v>14</v>
      </c>
      <c r="C177" s="1" t="s">
        <v>21</v>
      </c>
      <c r="D177" s="1">
        <v>185.84</v>
      </c>
      <c r="E177" s="1" t="s">
        <v>8</v>
      </c>
    </row>
    <row r="178">
      <c r="A178" s="3">
        <v>45984.0</v>
      </c>
      <c r="B178" s="1" t="s">
        <v>18</v>
      </c>
      <c r="C178" s="1" t="s">
        <v>19</v>
      </c>
      <c r="D178" s="1">
        <v>128.39</v>
      </c>
      <c r="E178" s="1" t="s">
        <v>8</v>
      </c>
    </row>
    <row r="179">
      <c r="A179" s="3">
        <v>45984.0</v>
      </c>
      <c r="B179" s="1" t="s">
        <v>6</v>
      </c>
      <c r="C179" s="1" t="s">
        <v>9</v>
      </c>
      <c r="D179" s="1">
        <v>652.35</v>
      </c>
      <c r="E179" s="1" t="s">
        <v>8</v>
      </c>
    </row>
    <row r="180">
      <c r="A180" s="3">
        <v>45985.0</v>
      </c>
      <c r="B180" s="1" t="s">
        <v>6</v>
      </c>
      <c r="C180" s="1" t="s">
        <v>7</v>
      </c>
      <c r="D180" s="1">
        <v>238.27</v>
      </c>
      <c r="E180" s="1" t="s">
        <v>8</v>
      </c>
    </row>
    <row r="181">
      <c r="A181" s="3">
        <v>45986.0</v>
      </c>
      <c r="B181" s="1" t="s">
        <v>11</v>
      </c>
      <c r="C181" s="1" t="s">
        <v>29</v>
      </c>
      <c r="D181" s="1">
        <v>332.94</v>
      </c>
      <c r="E181" s="1" t="s">
        <v>8</v>
      </c>
    </row>
    <row r="182">
      <c r="A182" s="3">
        <v>45986.0</v>
      </c>
      <c r="B182" s="1" t="s">
        <v>14</v>
      </c>
      <c r="C182" s="1" t="s">
        <v>31</v>
      </c>
      <c r="D182" s="1">
        <v>250.98</v>
      </c>
      <c r="E182" s="1" t="s">
        <v>10</v>
      </c>
    </row>
    <row r="183">
      <c r="A183" s="3">
        <v>45987.0</v>
      </c>
      <c r="B183" s="1" t="s">
        <v>18</v>
      </c>
      <c r="C183" s="1" t="s">
        <v>28</v>
      </c>
      <c r="D183" s="1">
        <v>169.42</v>
      </c>
      <c r="E183" s="1" t="s">
        <v>8</v>
      </c>
    </row>
    <row r="184">
      <c r="A184" s="3">
        <v>45987.0</v>
      </c>
      <c r="B184" s="1" t="s">
        <v>14</v>
      </c>
      <c r="C184" s="1" t="s">
        <v>31</v>
      </c>
      <c r="D184" s="1">
        <v>256.88</v>
      </c>
      <c r="E184" s="1" t="s">
        <v>10</v>
      </c>
    </row>
    <row r="185">
      <c r="A185" s="3">
        <v>45988.0</v>
      </c>
      <c r="B185" s="1" t="s">
        <v>11</v>
      </c>
      <c r="C185" s="1" t="s">
        <v>16</v>
      </c>
      <c r="D185" s="1">
        <v>86.04</v>
      </c>
      <c r="E185" s="1" t="s">
        <v>10</v>
      </c>
    </row>
    <row r="186">
      <c r="A186" s="3">
        <v>45988.0</v>
      </c>
      <c r="B186" s="1" t="s">
        <v>14</v>
      </c>
      <c r="C186" s="1" t="s">
        <v>15</v>
      </c>
      <c r="D186" s="1">
        <v>104.11</v>
      </c>
      <c r="E186" s="1" t="s">
        <v>8</v>
      </c>
    </row>
    <row r="187">
      <c r="A187" s="3">
        <v>45988.0</v>
      </c>
      <c r="B187" s="1" t="s">
        <v>14</v>
      </c>
      <c r="C187" s="1" t="s">
        <v>26</v>
      </c>
      <c r="D187" s="1">
        <v>151.22</v>
      </c>
      <c r="E187" s="1" t="s">
        <v>13</v>
      </c>
    </row>
    <row r="188">
      <c r="A188" s="3">
        <v>45988.0</v>
      </c>
      <c r="B188" s="1" t="s">
        <v>14</v>
      </c>
      <c r="C188" s="1" t="s">
        <v>26</v>
      </c>
      <c r="D188" s="1">
        <v>163.49</v>
      </c>
      <c r="E188" s="1" t="s">
        <v>10</v>
      </c>
    </row>
    <row r="189">
      <c r="A189" s="3">
        <v>45988.0</v>
      </c>
      <c r="B189" s="1" t="s">
        <v>11</v>
      </c>
      <c r="C189" s="1" t="s">
        <v>12</v>
      </c>
      <c r="D189" s="1">
        <v>205.01</v>
      </c>
      <c r="E189" s="1" t="s">
        <v>10</v>
      </c>
    </row>
    <row r="190">
      <c r="A190" s="3">
        <v>45988.0</v>
      </c>
      <c r="B190" s="1" t="s">
        <v>18</v>
      </c>
      <c r="C190" s="1" t="s">
        <v>24</v>
      </c>
      <c r="D190" s="1">
        <v>107.75</v>
      </c>
      <c r="E190" s="1" t="s">
        <v>10</v>
      </c>
    </row>
    <row r="191">
      <c r="A191" s="3">
        <v>45989.0</v>
      </c>
      <c r="B191" s="1" t="s">
        <v>14</v>
      </c>
      <c r="C191" s="1" t="s">
        <v>26</v>
      </c>
      <c r="D191" s="1">
        <v>355.33</v>
      </c>
      <c r="E191" s="1" t="s">
        <v>8</v>
      </c>
    </row>
    <row r="192">
      <c r="A192" s="3">
        <v>45989.0</v>
      </c>
      <c r="B192" s="1" t="s">
        <v>11</v>
      </c>
      <c r="C192" s="1" t="s">
        <v>17</v>
      </c>
      <c r="D192" s="1">
        <v>501.83</v>
      </c>
      <c r="E192" s="1" t="s">
        <v>8</v>
      </c>
    </row>
    <row r="193">
      <c r="A193" s="3">
        <v>45989.0</v>
      </c>
      <c r="B193" s="1" t="s">
        <v>18</v>
      </c>
      <c r="C193" s="1" t="s">
        <v>19</v>
      </c>
      <c r="D193" s="1">
        <v>47.11</v>
      </c>
      <c r="E193" s="1" t="s">
        <v>13</v>
      </c>
    </row>
    <row r="194">
      <c r="A194" s="3">
        <v>45989.0</v>
      </c>
      <c r="B194" s="1" t="s">
        <v>11</v>
      </c>
      <c r="C194" s="1" t="s">
        <v>17</v>
      </c>
      <c r="D194" s="1">
        <v>120.62</v>
      </c>
      <c r="E194" s="1" t="s">
        <v>13</v>
      </c>
    </row>
    <row r="195">
      <c r="A195" s="3">
        <v>45989.0</v>
      </c>
      <c r="B195" s="1" t="s">
        <v>11</v>
      </c>
      <c r="C195" s="1" t="s">
        <v>12</v>
      </c>
      <c r="D195" s="1">
        <v>309.73</v>
      </c>
      <c r="E195" s="1" t="s">
        <v>13</v>
      </c>
    </row>
    <row r="196">
      <c r="A196" s="3">
        <v>45990.0</v>
      </c>
      <c r="B196" s="1" t="s">
        <v>18</v>
      </c>
      <c r="C196" s="1" t="s">
        <v>23</v>
      </c>
      <c r="D196" s="1">
        <v>176.8</v>
      </c>
      <c r="E196" s="1" t="s">
        <v>13</v>
      </c>
    </row>
    <row r="197">
      <c r="A197" s="3">
        <v>45990.0</v>
      </c>
      <c r="B197" s="1" t="s">
        <v>18</v>
      </c>
      <c r="C197" s="1" t="s">
        <v>23</v>
      </c>
      <c r="D197" s="1">
        <v>131.57</v>
      </c>
      <c r="E197" s="1" t="s">
        <v>8</v>
      </c>
    </row>
    <row r="198">
      <c r="A198" s="3">
        <v>45990.0</v>
      </c>
      <c r="B198" s="1" t="s">
        <v>14</v>
      </c>
      <c r="C198" s="1" t="s">
        <v>15</v>
      </c>
      <c r="D198" s="1">
        <v>389.63</v>
      </c>
      <c r="E198" s="1" t="s">
        <v>13</v>
      </c>
    </row>
    <row r="199">
      <c r="A199" s="3">
        <v>45990.0</v>
      </c>
      <c r="B199" s="1" t="s">
        <v>18</v>
      </c>
      <c r="C199" s="1" t="s">
        <v>19</v>
      </c>
      <c r="D199" s="1">
        <v>141.21</v>
      </c>
      <c r="E199" s="1" t="s">
        <v>8</v>
      </c>
    </row>
    <row r="200">
      <c r="A200" s="3">
        <v>45991.0</v>
      </c>
      <c r="B200" s="1" t="s">
        <v>18</v>
      </c>
      <c r="C200" s="1" t="s">
        <v>23</v>
      </c>
      <c r="D200" s="1">
        <v>24.16</v>
      </c>
      <c r="E200" s="1" t="s">
        <v>10</v>
      </c>
    </row>
    <row r="201">
      <c r="A201" s="3">
        <v>45991.0</v>
      </c>
      <c r="B201" s="1" t="s">
        <v>18</v>
      </c>
      <c r="C201" s="1" t="s">
        <v>24</v>
      </c>
      <c r="D201" s="1">
        <v>144.91</v>
      </c>
      <c r="E201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5.63"/>
    <col customWidth="1" min="8" max="8" width="7.88"/>
  </cols>
  <sheetData>
    <row r="1" ht="43.5" customHeight="1">
      <c r="A1" s="5" t="s">
        <v>38</v>
      </c>
      <c r="C1" s="5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39</v>
      </c>
      <c r="B2" s="8"/>
      <c r="C2" s="9"/>
      <c r="D2" s="9"/>
    </row>
    <row r="3">
      <c r="A3" s="10" t="s">
        <v>40</v>
      </c>
      <c r="B3" s="11">
        <f>SUM(Data!D:D)</f>
        <v>93692.01</v>
      </c>
    </row>
    <row r="4">
      <c r="A4" s="10" t="s">
        <v>41</v>
      </c>
      <c r="B4" s="12" t="str">
        <f>IFERROR(__xludf.DUMMYFUNCTION("INDEX(SORT(QUERY(Data!B:D,""select B, sum(D) group by B label sum(D)''"",0),2,false),1,1)"),"Shopping")</f>
        <v>Shopping</v>
      </c>
    </row>
    <row r="5">
      <c r="A5" s="10" t="s">
        <v>42</v>
      </c>
      <c r="B5" s="12">
        <f>COUNTA(Data!A:A)-1</f>
        <v>200</v>
      </c>
    </row>
    <row r="6">
      <c r="A6" s="10" t="s">
        <v>43</v>
      </c>
      <c r="B6" s="13">
        <f t="array" ref="B6">SUM(Data!D:D) / COUNTA(UNIQUE(Data!A:A))</f>
        <v>1171.150125</v>
      </c>
    </row>
    <row r="7">
      <c r="D7" s="14"/>
    </row>
    <row r="9">
      <c r="A9" s="15" t="s">
        <v>44</v>
      </c>
      <c r="D9" s="15"/>
      <c r="E9" s="15" t="s">
        <v>45</v>
      </c>
    </row>
  </sheetData>
  <mergeCells count="4">
    <mergeCell ref="A1:B1"/>
    <mergeCell ref="A9:C9"/>
    <mergeCell ref="A2:B2"/>
    <mergeCell ref="E9:I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